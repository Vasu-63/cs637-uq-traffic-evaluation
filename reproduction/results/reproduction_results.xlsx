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MSD8 vs Table 1" sheetId="1" state="visible" r:id="rId3"/>
    <sheet name="PEMSD4 vs Table 1" sheetId="2" state="visible" r:id="rId4"/>
    <sheet name="Seed check" sheetId="3" state="visible" r:id="rId5"/>
    <sheet name="Gain split" sheetId="4" state="visible" r:id="rId6"/>
    <sheet name="Run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<sst xmlns="http://schemas.openxmlformats.org/spreadsheetml/2006/main" count="219" uniqueCount="95">
  <si>
    <t xml:space="preserve">PEMSD8: our retrained models vs paper Table 1</t>
  </si>
  <si>
    <t xml:space="preserve">Averaged reading ("15 min" = average over steps 1-3, etc.), test set. Blue = values from our runs or the paper; black = formulas.</t>
  </si>
  <si>
    <t xml:space="preserve">Model</t>
  </si>
  <si>
    <t xml:space="preserve">Seeds</t>
  </si>
  <si>
    <t xml:space="preserve">Metric</t>
  </si>
  <si>
    <t xml:space="preserve">Minutes</t>
  </si>
  <si>
    <t xml:space="preserve">Ours</t>
  </si>
  <si>
    <t xml:space="preserve">Paper (Table 1)</t>
  </si>
  <si>
    <t xml:space="preserve">Diff (%)</t>
  </si>
  <si>
    <t xml:space="preserve">Source of "Ours"</t>
  </si>
  <si>
    <t xml:space="preserve">GPDE+Quantile</t>
  </si>
  <si>
    <t xml:space="preserve">MAE</t>
  </si>
  <si>
    <t xml:space="preserve">p1/results/pemsd8_trio_vs_table1.csv</t>
  </si>
  <si>
    <t xml:space="preserve">RMSE</t>
  </si>
  <si>
    <t xml:space="preserve">MIS (authors)</t>
  </si>
  <si>
    <t xml:space="preserve">GPDE+Quantile+Phy</t>
  </si>
  <si>
    <t xml:space="preserve">p2/results/horizon_metrics.csv (implementation runs, lambda 0.002)</t>
  </si>
  <si>
    <t xml:space="preserve">Quantile</t>
  </si>
  <si>
    <t xml:space="preserve">Read as single-horizon errors (the error at exactly 15/30/60 min), all three models are 18-33% above Table 1 in MAE.</t>
  </si>
  <si>
    <t xml:space="preserve">Paper values: Table 1, PEMSD8 columns. Seed-to-seed std of MAE in our runs: about 0.02-0.025.</t>
  </si>
  <si>
    <t xml:space="preserve">PEMSD4: authors' shipped checkpoints, evaluated by us</t>
  </si>
  <si>
    <t xml:space="preserve">Mean |% diff| vs Table 1 over MAE, MIS and MSE, with the authors' batch padding added back (208 copies of the last test sample).</t>
  </si>
  <si>
    <t xml:space="preserve">15 min, best match (%)</t>
  </si>
  <si>
    <t xml:space="preserve">Reading that matches at 15 min</t>
  </si>
  <si>
    <t xml:space="preserve">30 min, padded average (%)</t>
  </si>
  <si>
    <t xml:space="preserve">60 min, padded average (%)</t>
  </si>
  <si>
    <t xml:space="preserve">Note</t>
  </si>
  <si>
    <t xml:space="preserve">padded single step</t>
  </si>
  <si>
    <t xml:space="preserve">MAEMIS</t>
  </si>
  <si>
    <t xml:space="preserve">60 min: Table 1 MAE typo (3.167; log and our run give about 2.68)</t>
  </si>
  <si>
    <t xml:space="preserve">GPDE+MAEMIS</t>
  </si>
  <si>
    <t xml:space="preserve">GPDE+MAEMIS+Phy</t>
  </si>
  <si>
    <t xml:space="preserve">padded average, steps 1-3</t>
  </si>
  <si>
    <t xml:space="preserve">only model whose 15-min row matches the average</t>
  </si>
  <si>
    <t xml:space="preserve">Source: p1/results/pemsd4_padded_vs_table1.csv (notebook 2, table D).</t>
  </si>
  <si>
    <t xml:space="preserve">Without the padding, the 30/60-min gap is 2-7%: the padding makes the authors' reported metrics about 2-3% better.</t>
  </si>
  <si>
    <t xml:space="preserve">Our evaluation also matches the authors' own training logs: e.g. GPDE+Quantile+Phy test MAE 2.0194 vs logged 2.0189 (p1/results/pemsd4_table1_vs_authors_logs.csv).</t>
  </si>
  <si>
    <t xml:space="preserve">Seed check: does the physics loss beat run-to-run noise? (PEMSD8)</t>
  </si>
  <si>
    <t xml:space="preserve">GPDE+Quantile (ours) vs GPDE+Quantile+Phy (implementation runs), 3 seeds each, paired by seed. Single-horizon test metrics. Diff = Phy minus GPDE.</t>
  </si>
  <si>
    <t xml:space="preserve">GPDE mean</t>
  </si>
  <si>
    <t xml:space="preserve">GPDE std</t>
  </si>
  <si>
    <t xml:space="preserve">Phy mean</t>
  </si>
  <si>
    <t xml:space="preserve">Phy std</t>
  </si>
  <si>
    <t xml:space="preserve">Diff seed 0</t>
  </si>
  <si>
    <t xml:space="preserve">Diff seed 1</t>
  </si>
  <si>
    <t xml:space="preserve">Diff seed 2</t>
  </si>
  <si>
    <t xml:space="preserve">Mean diff</t>
  </si>
  <si>
    <t xml:space="preserve">Diff (% of GPDE)</t>
  </si>
  <si>
    <t xml:space="preserve">Gap / noise</t>
  </si>
  <si>
    <t xml:space="preserve">Same sign in all seeds</t>
  </si>
  <si>
    <t xml:space="preserve">Better with physics?</t>
  </si>
  <si>
    <t xml:space="preserve">MIS (standard)</t>
  </si>
  <si>
    <t xml:space="preserve">Coverage</t>
  </si>
  <si>
    <t xml:space="preserve">Paper's claimed gain (15 min MAE)</t>
  </si>
  <si>
    <t xml:space="preserve">Paper GPDE+Quantile</t>
  </si>
  <si>
    <t xml:space="preserve">Paper GPDE+Quantile+Phy</t>
  </si>
  <si>
    <t xml:space="preserve">Claimed gain</t>
  </si>
  <si>
    <t xml:space="preserve">Our seed std (GPDE, 15 min)</t>
  </si>
  <si>
    <t xml:space="preserve">Claimed gain / our seed std</t>
  </si>
  <si>
    <t xml:space="preserve">Gap / noise = |mean paired difference| / larger seed std. Below 1, the physics effect is within run-to-run noise.</t>
  </si>
  <si>
    <t xml:space="preserve">Paired differences are rounded to 3 decimals, so "Mean diff" can differ from the notebook in the 4th decimal.</t>
  </si>
  <si>
    <t xml:space="preserve">Source: p1/results/pemsd8_seed_check.csv (notebook 2, table B). Paper values: Table 1, PEMSD8, averaged reading.</t>
  </si>
  <si>
    <t xml:space="preserve">Where the headline gain comes from (PEMSD8, MAE)</t>
  </si>
  <si>
    <t xml:space="preserve">Quantile -&gt; GPDE+Quantile -&gt; GPDE+Quantile+Phy. Points = share of the Quantile MAE.</t>
  </si>
  <si>
    <t xml:space="preserve">Source</t>
  </si>
  <si>
    <t xml:space="preserve">Reading</t>
  </si>
  <si>
    <t xml:space="preserve">Total gain</t>
  </si>
  <si>
    <t xml:space="preserve">From GPDE</t>
  </si>
  <si>
    <t xml:space="preserve">From physics</t>
  </si>
  <si>
    <t xml:space="preserve">avg</t>
  </si>
  <si>
    <t xml:space="preserve">step</t>
  </si>
  <si>
    <t xml:space="preserve">Paper</t>
  </si>
  <si>
    <t xml:space="preserve">Negative "From physics" = adding the physics loss made MAE worse.</t>
  </si>
  <si>
    <t xml:space="preserve">Our Quantile is one seed (6% above the paper at 15 min), which inflates the GPDE share; GPDE+Quantile and GPDE+Quantile+Phy are 3-seed means.</t>
  </si>
  <si>
    <t xml:space="preserve">Source: notebook 2, table C; paper: Table 1, PEMSD8.</t>
  </si>
  <si>
    <t xml:space="preserve">PEMSD8 training runs</t>
  </si>
  <si>
    <t xml:space="preserve">50 epochs each, batch 128, Colab T4. Best epoch = lowest validation MAE (the last checkpoint saved).</t>
  </si>
  <si>
    <t xml:space="preserve">Run label</t>
  </si>
  <si>
    <t xml:space="preserve">Seed</t>
  </si>
  <si>
    <t xml:space="preserve">Trained on</t>
  </si>
  <si>
    <t xml:space="preserve">Best epoch</t>
  </si>
  <si>
    <t xml:space="preserve">Val MAE at best epoch</t>
  </si>
  <si>
    <t xml:space="preserve">Test MAE, all 12 horizons (authors-style)</t>
  </si>
  <si>
    <t xml:space="preserve">pemsd8_quantile_seed0</t>
  </si>
  <si>
    <t xml:space="preserve">account A</t>
  </si>
  <si>
    <t xml:space="preserve">pemsd8_gpde_quantile_seed0</t>
  </si>
  <si>
    <t xml:space="preserve">pemsd8_gpde_quantile_seed1</t>
  </si>
  <si>
    <t xml:space="preserve">account B</t>
  </si>
  <si>
    <t xml:space="preserve">pemsd8_gpde_quantile_seed2</t>
  </si>
  <si>
    <t xml:space="preserve">pemsd8_underwood_ours</t>
  </si>
  <si>
    <t xml:space="preserve">implementation</t>
  </si>
  <si>
    <t xml:space="preserve">pemsd8_underwood_ours_seed1</t>
  </si>
  <si>
    <t xml:space="preserve">pemsd8_underwood_ours_seed2</t>
  </si>
  <si>
    <t xml:space="preserve">Our runs: training logs from notebook 2 (p1/pemsd8_runs/&lt;label&gt;/). Phy runs: claude/implementation_handoff.md (lambda 0.002, our loss = authors' loss).</t>
  </si>
  <si>
    <t xml:space="preserve">Test MAE here includes the authors' batch padding, so it is slightly below the unpadded numbers on the other sheets.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</si>
</sst>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0.000"/>
    <numFmt numFmtId="167" formatCode="0.0%"/>
    <numFmt numFmtId="168" formatCode="0.00"/>
    <numFmt numFmtId="169" formatCode="0.0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4F6F"/>
        <bgColor rgb="FF555555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8CE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CED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2F4F6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"/>
    <col collapsed="false" customWidth="true" hidden="false" outlineLevel="0" max="3" min="3" style="0" width="16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5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10</v>
      </c>
      <c r="B5" s="5" t="n">
        <v>3</v>
      </c>
      <c r="C5" s="4" t="s">
        <v>11</v>
      </c>
      <c r="D5" s="5" t="n">
        <v>15</v>
      </c>
      <c r="E5" s="6" t="n">
        <v>1.044</v>
      </c>
      <c r="F5" s="6" t="n">
        <v>1.041</v>
      </c>
      <c r="G5" s="7" t="n">
        <f aca="false">(E5-F5)/F5</f>
        <v>0.00288184438040357</v>
      </c>
      <c r="H5" s="4" t="s">
        <v>12</v>
      </c>
    </row>
    <row r="6" customFormat="false" ht="15" hidden="false" customHeight="false" outlineLevel="0" collapsed="false">
      <c r="A6" s="4" t="s">
        <v>10</v>
      </c>
      <c r="B6" s="5" t="n">
        <v>3</v>
      </c>
      <c r="C6" s="4" t="s">
        <v>11</v>
      </c>
      <c r="D6" s="5" t="n">
        <v>30</v>
      </c>
      <c r="E6" s="6" t="n">
        <v>1.255</v>
      </c>
      <c r="F6" s="6" t="n">
        <v>1.251</v>
      </c>
      <c r="G6" s="7" t="n">
        <f aca="false">(E6-F6)/F6</f>
        <v>0.00319744204636291</v>
      </c>
      <c r="H6" s="4" t="s">
        <v>12</v>
      </c>
    </row>
    <row r="7" customFormat="false" ht="15" hidden="false" customHeight="false" outlineLevel="0" collapsed="false">
      <c r="A7" s="4" t="s">
        <v>10</v>
      </c>
      <c r="B7" s="5" t="n">
        <v>3</v>
      </c>
      <c r="C7" s="4" t="s">
        <v>11</v>
      </c>
      <c r="D7" s="5" t="n">
        <v>60</v>
      </c>
      <c r="E7" s="6" t="n">
        <v>1.542</v>
      </c>
      <c r="F7" s="6" t="n">
        <v>1.54</v>
      </c>
      <c r="G7" s="7" t="n">
        <f aca="false">(E7-F7)/F7</f>
        <v>0.0012987012987013</v>
      </c>
      <c r="H7" s="4" t="s">
        <v>12</v>
      </c>
    </row>
    <row r="8" customFormat="false" ht="15" hidden="false" customHeight="false" outlineLevel="0" collapsed="false">
      <c r="A8" s="4" t="s">
        <v>10</v>
      </c>
      <c r="B8" s="5" t="n">
        <v>3</v>
      </c>
      <c r="C8" s="4" t="s">
        <v>13</v>
      </c>
      <c r="D8" s="5" t="n">
        <v>15</v>
      </c>
      <c r="E8" s="6" t="n">
        <v>2.172</v>
      </c>
      <c r="F8" s="6" t="n">
        <v>2.175</v>
      </c>
      <c r="G8" s="7" t="n">
        <f aca="false">(E8-F8)/F8</f>
        <v>-0.00137931034482743</v>
      </c>
      <c r="H8" s="4" t="s">
        <v>12</v>
      </c>
    </row>
    <row r="9" customFormat="false" ht="15" hidden="false" customHeight="false" outlineLevel="0" collapsed="false">
      <c r="A9" s="4" t="s">
        <v>10</v>
      </c>
      <c r="B9" s="5" t="n">
        <v>3</v>
      </c>
      <c r="C9" s="4" t="s">
        <v>13</v>
      </c>
      <c r="D9" s="5" t="n">
        <v>30</v>
      </c>
      <c r="E9" s="6" t="n">
        <v>2.778</v>
      </c>
      <c r="F9" s="6" t="n">
        <v>2.78</v>
      </c>
      <c r="G9" s="7" t="n">
        <f aca="false">(E9-F9)/F9</f>
        <v>-0.000719424460431576</v>
      </c>
      <c r="H9" s="4" t="s">
        <v>12</v>
      </c>
    </row>
    <row r="10" customFormat="false" ht="15" hidden="false" customHeight="false" outlineLevel="0" collapsed="false">
      <c r="A10" s="4" t="s">
        <v>10</v>
      </c>
      <c r="B10" s="5" t="n">
        <v>3</v>
      </c>
      <c r="C10" s="4" t="s">
        <v>13</v>
      </c>
      <c r="D10" s="5" t="n">
        <v>60</v>
      </c>
      <c r="E10" s="6" t="n">
        <v>3.566</v>
      </c>
      <c r="F10" s="6" t="n">
        <v>3.565</v>
      </c>
      <c r="G10" s="7" t="n">
        <f aca="false">(E10-F10)/F10</f>
        <v>0.000280504908835874</v>
      </c>
      <c r="H10" s="4" t="s">
        <v>12</v>
      </c>
    </row>
    <row r="11" customFormat="false" ht="15" hidden="false" customHeight="false" outlineLevel="0" collapsed="false">
      <c r="A11" s="4" t="s">
        <v>10</v>
      </c>
      <c r="B11" s="5" t="n">
        <v>3</v>
      </c>
      <c r="C11" s="4" t="s">
        <v>14</v>
      </c>
      <c r="D11" s="5" t="n">
        <v>15</v>
      </c>
      <c r="E11" s="6" t="n">
        <v>12.385</v>
      </c>
      <c r="F11" s="6" t="n">
        <v>12.633</v>
      </c>
      <c r="G11" s="7" t="n">
        <f aca="false">(E11-F11)/F11</f>
        <v>-0.0196311248317897</v>
      </c>
      <c r="H11" s="4" t="s">
        <v>12</v>
      </c>
    </row>
    <row r="12" customFormat="false" ht="15" hidden="false" customHeight="false" outlineLevel="0" collapsed="false">
      <c r="A12" s="4" t="s">
        <v>10</v>
      </c>
      <c r="B12" s="5" t="n">
        <v>3</v>
      </c>
      <c r="C12" s="4" t="s">
        <v>14</v>
      </c>
      <c r="D12" s="5" t="n">
        <v>30</v>
      </c>
      <c r="E12" s="6" t="n">
        <v>18.732</v>
      </c>
      <c r="F12" s="6" t="n">
        <v>19.2</v>
      </c>
      <c r="G12" s="7" t="n">
        <f aca="false">(E12-F12)/F12</f>
        <v>-0.024375</v>
      </c>
      <c r="H12" s="4" t="s">
        <v>12</v>
      </c>
    </row>
    <row r="13" customFormat="false" ht="15" hidden="false" customHeight="false" outlineLevel="0" collapsed="false">
      <c r="A13" s="4" t="s">
        <v>10</v>
      </c>
      <c r="B13" s="5" t="n">
        <v>3</v>
      </c>
      <c r="C13" s="4" t="s">
        <v>14</v>
      </c>
      <c r="D13" s="5" t="n">
        <v>60</v>
      </c>
      <c r="E13" s="6" t="n">
        <v>28.704</v>
      </c>
      <c r="F13" s="6" t="n">
        <v>29.76</v>
      </c>
      <c r="G13" s="7" t="n">
        <f aca="false">(E13-F13)/F13</f>
        <v>-0.035483870967742</v>
      </c>
      <c r="H13" s="4" t="s">
        <v>12</v>
      </c>
    </row>
    <row r="14" customFormat="false" ht="15" hidden="false" customHeight="false" outlineLevel="0" collapsed="false">
      <c r="A14" s="4" t="s">
        <v>15</v>
      </c>
      <c r="B14" s="5" t="n">
        <v>3</v>
      </c>
      <c r="C14" s="4" t="s">
        <v>11</v>
      </c>
      <c r="D14" s="5" t="n">
        <v>15</v>
      </c>
      <c r="E14" s="6" t="n">
        <v>1.06</v>
      </c>
      <c r="F14" s="6" t="n">
        <v>1.024</v>
      </c>
      <c r="G14" s="7" t="n">
        <f aca="false">(E14-F14)/F14</f>
        <v>0.03515625</v>
      </c>
      <c r="H14" s="4" t="s">
        <v>16</v>
      </c>
    </row>
    <row r="15" customFormat="false" ht="15" hidden="false" customHeight="false" outlineLevel="0" collapsed="false">
      <c r="A15" s="4" t="s">
        <v>15</v>
      </c>
      <c r="B15" s="5" t="n">
        <v>3</v>
      </c>
      <c r="C15" s="4" t="s">
        <v>11</v>
      </c>
      <c r="D15" s="5" t="n">
        <v>30</v>
      </c>
      <c r="E15" s="6" t="n">
        <v>1.268</v>
      </c>
      <c r="F15" s="6" t="n">
        <v>1.236</v>
      </c>
      <c r="G15" s="7" t="n">
        <f aca="false">(E15-F15)/F15</f>
        <v>0.0258899676375405</v>
      </c>
      <c r="H15" s="4" t="s">
        <v>16</v>
      </c>
    </row>
    <row r="16" customFormat="false" ht="15" hidden="false" customHeight="false" outlineLevel="0" collapsed="false">
      <c r="A16" s="4" t="s">
        <v>15</v>
      </c>
      <c r="B16" s="5" t="n">
        <v>3</v>
      </c>
      <c r="C16" s="4" t="s">
        <v>11</v>
      </c>
      <c r="D16" s="5" t="n">
        <v>60</v>
      </c>
      <c r="E16" s="6" t="n">
        <v>1.555</v>
      </c>
      <c r="F16" s="6" t="n">
        <v>1.521</v>
      </c>
      <c r="G16" s="7" t="n">
        <f aca="false">(E16-F16)/F16</f>
        <v>0.022353714661407</v>
      </c>
      <c r="H16" s="4" t="s">
        <v>16</v>
      </c>
    </row>
    <row r="17" customFormat="false" ht="15" hidden="false" customHeight="false" outlineLevel="0" collapsed="false">
      <c r="A17" s="4" t="s">
        <v>15</v>
      </c>
      <c r="B17" s="5" t="n">
        <v>3</v>
      </c>
      <c r="C17" s="4" t="s">
        <v>13</v>
      </c>
      <c r="D17" s="5" t="n">
        <v>15</v>
      </c>
      <c r="E17" s="6" t="n">
        <v>2.212</v>
      </c>
      <c r="F17" s="6" t="n">
        <v>2.162</v>
      </c>
      <c r="G17" s="7" t="n">
        <f aca="false">(E17-F17)/F17</f>
        <v>0.023126734505088</v>
      </c>
      <c r="H17" s="4" t="s">
        <v>16</v>
      </c>
    </row>
    <row r="18" customFormat="false" ht="15" hidden="false" customHeight="false" outlineLevel="0" collapsed="false">
      <c r="A18" s="4" t="s">
        <v>15</v>
      </c>
      <c r="B18" s="5" t="n">
        <v>3</v>
      </c>
      <c r="C18" s="4" t="s">
        <v>13</v>
      </c>
      <c r="D18" s="5" t="n">
        <v>30</v>
      </c>
      <c r="E18" s="6" t="n">
        <v>2.805</v>
      </c>
      <c r="F18" s="6" t="n">
        <v>2.774</v>
      </c>
      <c r="G18" s="7" t="n">
        <f aca="false">(E18-F18)/F18</f>
        <v>0.0111751982696468</v>
      </c>
      <c r="H18" s="4" t="s">
        <v>16</v>
      </c>
    </row>
    <row r="19" customFormat="false" ht="15" hidden="false" customHeight="false" outlineLevel="0" collapsed="false">
      <c r="A19" s="4" t="s">
        <v>15</v>
      </c>
      <c r="B19" s="5" t="n">
        <v>3</v>
      </c>
      <c r="C19" s="4" t="s">
        <v>13</v>
      </c>
      <c r="D19" s="5" t="n">
        <v>60</v>
      </c>
      <c r="E19" s="6" t="n">
        <v>3.569</v>
      </c>
      <c r="F19" s="6" t="n">
        <v>3.539</v>
      </c>
      <c r="G19" s="7" t="n">
        <f aca="false">(E19-F19)/F19</f>
        <v>0.0084769708957332</v>
      </c>
      <c r="H19" s="4" t="s">
        <v>16</v>
      </c>
    </row>
    <row r="20" customFormat="false" ht="15" hidden="false" customHeight="false" outlineLevel="0" collapsed="false">
      <c r="A20" s="4" t="s">
        <v>15</v>
      </c>
      <c r="B20" s="5" t="n">
        <v>3</v>
      </c>
      <c r="C20" s="4" t="s">
        <v>14</v>
      </c>
      <c r="D20" s="5" t="n">
        <v>15</v>
      </c>
      <c r="E20" s="6" t="n">
        <v>12.581</v>
      </c>
      <c r="F20" s="6" t="n">
        <v>12.063</v>
      </c>
      <c r="G20" s="7" t="n">
        <f aca="false">(E20-F20)/F20</f>
        <v>0.0429412252341871</v>
      </c>
      <c r="H20" s="4" t="s">
        <v>16</v>
      </c>
    </row>
    <row r="21" customFormat="false" ht="15" hidden="false" customHeight="false" outlineLevel="0" collapsed="false">
      <c r="A21" s="4" t="s">
        <v>15</v>
      </c>
      <c r="B21" s="5" t="n">
        <v>3</v>
      </c>
      <c r="C21" s="4" t="s">
        <v>14</v>
      </c>
      <c r="D21" s="5" t="n">
        <v>30</v>
      </c>
      <c r="E21" s="6" t="n">
        <v>19.06</v>
      </c>
      <c r="F21" s="6" t="n">
        <v>18.497</v>
      </c>
      <c r="G21" s="7" t="n">
        <f aca="false">(E21-F21)/F21</f>
        <v>0.0304373682218738</v>
      </c>
      <c r="H21" s="4" t="s">
        <v>16</v>
      </c>
    </row>
    <row r="22" customFormat="false" ht="15" hidden="false" customHeight="false" outlineLevel="0" collapsed="false">
      <c r="A22" s="4" t="s">
        <v>15</v>
      </c>
      <c r="B22" s="5" t="n">
        <v>3</v>
      </c>
      <c r="C22" s="4" t="s">
        <v>14</v>
      </c>
      <c r="D22" s="5" t="n">
        <v>60</v>
      </c>
      <c r="E22" s="6" t="n">
        <v>29.414</v>
      </c>
      <c r="F22" s="6" t="n">
        <v>28.812</v>
      </c>
      <c r="G22" s="7" t="n">
        <f aca="false">(E22-F22)/F22</f>
        <v>0.0208940719144801</v>
      </c>
      <c r="H22" s="4" t="s">
        <v>16</v>
      </c>
    </row>
    <row r="23" customFormat="false" ht="15" hidden="false" customHeight="false" outlineLevel="0" collapsed="false">
      <c r="A23" s="4" t="s">
        <v>17</v>
      </c>
      <c r="B23" s="5" t="n">
        <v>1</v>
      </c>
      <c r="C23" s="4" t="s">
        <v>11</v>
      </c>
      <c r="D23" s="5" t="n">
        <v>15</v>
      </c>
      <c r="E23" s="6" t="n">
        <v>1.276</v>
      </c>
      <c r="F23" s="6" t="n">
        <v>1.202</v>
      </c>
      <c r="G23" s="7" t="n">
        <f aca="false">(E23-F23)/F23</f>
        <v>0.0615640599001664</v>
      </c>
      <c r="H23" s="4" t="s">
        <v>12</v>
      </c>
    </row>
    <row r="24" customFormat="false" ht="15" hidden="false" customHeight="false" outlineLevel="0" collapsed="false">
      <c r="A24" s="4" t="s">
        <v>17</v>
      </c>
      <c r="B24" s="5" t="n">
        <v>1</v>
      </c>
      <c r="C24" s="4" t="s">
        <v>11</v>
      </c>
      <c r="D24" s="5" t="n">
        <v>30</v>
      </c>
      <c r="E24" s="6" t="n">
        <v>1.448</v>
      </c>
      <c r="F24" s="6" t="n">
        <v>1.386</v>
      </c>
      <c r="G24" s="7" t="n">
        <f aca="false">(E24-F24)/F24</f>
        <v>0.0447330447330448</v>
      </c>
      <c r="H24" s="4" t="s">
        <v>12</v>
      </c>
    </row>
    <row r="25" customFormat="false" ht="15" hidden="false" customHeight="false" outlineLevel="0" collapsed="false">
      <c r="A25" s="4" t="s">
        <v>17</v>
      </c>
      <c r="B25" s="5" t="n">
        <v>1</v>
      </c>
      <c r="C25" s="4" t="s">
        <v>11</v>
      </c>
      <c r="D25" s="5" t="n">
        <v>60</v>
      </c>
      <c r="E25" s="6" t="n">
        <v>1.717</v>
      </c>
      <c r="F25" s="6" t="n">
        <v>1.666</v>
      </c>
      <c r="G25" s="7" t="n">
        <f aca="false">(E25-F25)/F25</f>
        <v>0.0306122448979593</v>
      </c>
      <c r="H25" s="4" t="s">
        <v>12</v>
      </c>
    </row>
    <row r="26" customFormat="false" ht="15" hidden="false" customHeight="false" outlineLevel="0" collapsed="false">
      <c r="A26" s="4" t="s">
        <v>17</v>
      </c>
      <c r="B26" s="5" t="n">
        <v>1</v>
      </c>
      <c r="C26" s="4" t="s">
        <v>13</v>
      </c>
      <c r="D26" s="5" t="n">
        <v>15</v>
      </c>
      <c r="E26" s="6" t="n">
        <v>2.729</v>
      </c>
      <c r="F26" s="6" t="n">
        <v>2.557</v>
      </c>
      <c r="G26" s="7" t="n">
        <f aca="false">(E26-F26)/F26</f>
        <v>0.0672663277278061</v>
      </c>
      <c r="H26" s="4" t="s">
        <v>12</v>
      </c>
    </row>
    <row r="27" customFormat="false" ht="15" hidden="false" customHeight="false" outlineLevel="0" collapsed="false">
      <c r="A27" s="4" t="s">
        <v>17</v>
      </c>
      <c r="B27" s="5" t="n">
        <v>1</v>
      </c>
      <c r="C27" s="4" t="s">
        <v>13</v>
      </c>
      <c r="D27" s="5" t="n">
        <v>30</v>
      </c>
      <c r="E27" s="6" t="n">
        <v>3.201</v>
      </c>
      <c r="F27" s="6" t="n">
        <v>3.074</v>
      </c>
      <c r="G27" s="7" t="n">
        <f aca="false">(E27-F27)/F27</f>
        <v>0.0413142485361094</v>
      </c>
      <c r="H27" s="4" t="s">
        <v>12</v>
      </c>
    </row>
    <row r="28" customFormat="false" ht="15" hidden="false" customHeight="false" outlineLevel="0" collapsed="false">
      <c r="A28" s="4" t="s">
        <v>17</v>
      </c>
      <c r="B28" s="5" t="n">
        <v>1</v>
      </c>
      <c r="C28" s="4" t="s">
        <v>13</v>
      </c>
      <c r="D28" s="5" t="n">
        <v>60</v>
      </c>
      <c r="E28" s="6" t="n">
        <v>3.9</v>
      </c>
      <c r="F28" s="6" t="n">
        <v>3.823</v>
      </c>
      <c r="G28" s="7" t="n">
        <f aca="false">(E28-F28)/F28</f>
        <v>0.0201412503269683</v>
      </c>
      <c r="H28" s="4" t="s">
        <v>12</v>
      </c>
    </row>
    <row r="29" customFormat="false" ht="15" hidden="false" customHeight="false" outlineLevel="0" collapsed="false">
      <c r="A29" s="4" t="s">
        <v>17</v>
      </c>
      <c r="B29" s="5" t="n">
        <v>1</v>
      </c>
      <c r="C29" s="4" t="s">
        <v>14</v>
      </c>
      <c r="D29" s="5" t="n">
        <v>15</v>
      </c>
      <c r="E29" s="6" t="n">
        <v>15.591</v>
      </c>
      <c r="F29" s="6" t="n">
        <v>13.738</v>
      </c>
      <c r="G29" s="7" t="n">
        <f aca="false">(E29-F29)/F29</f>
        <v>0.134881350997234</v>
      </c>
      <c r="H29" s="4" t="s">
        <v>12</v>
      </c>
    </row>
    <row r="30" customFormat="false" ht="15" hidden="false" customHeight="false" outlineLevel="0" collapsed="false">
      <c r="A30" s="4" t="s">
        <v>17</v>
      </c>
      <c r="B30" s="5" t="n">
        <v>1</v>
      </c>
      <c r="C30" s="4" t="s">
        <v>14</v>
      </c>
      <c r="D30" s="5" t="n">
        <v>30</v>
      </c>
      <c r="E30" s="6" t="n">
        <v>22.666</v>
      </c>
      <c r="F30" s="6" t="n">
        <v>19.878</v>
      </c>
      <c r="G30" s="7" t="n">
        <f aca="false">(E30-F30)/F30</f>
        <v>0.140255558909347</v>
      </c>
      <c r="H30" s="4" t="s">
        <v>12</v>
      </c>
    </row>
    <row r="31" customFormat="false" ht="15" hidden="false" customHeight="false" outlineLevel="0" collapsed="false">
      <c r="A31" s="4" t="s">
        <v>17</v>
      </c>
      <c r="B31" s="5" t="n">
        <v>1</v>
      </c>
      <c r="C31" s="4" t="s">
        <v>14</v>
      </c>
      <c r="D31" s="5" t="n">
        <v>60</v>
      </c>
      <c r="E31" s="6" t="n">
        <v>34.182</v>
      </c>
      <c r="F31" s="6" t="n">
        <v>30.333</v>
      </c>
      <c r="G31" s="7" t="n">
        <f aca="false">(E31-F31)/F31</f>
        <v>0.126891504302245</v>
      </c>
      <c r="H31" s="4" t="s">
        <v>12</v>
      </c>
    </row>
    <row r="33" customFormat="false" ht="15" hidden="false" customHeight="false" outlineLevel="0" collapsed="false">
      <c r="A33" s="2" t="s">
        <v>18</v>
      </c>
    </row>
    <row r="34" customFormat="false" ht="15" hidden="false" customHeight="false" outlineLevel="0" collapsed="false">
      <c r="A34" s="2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3"/>
    <col collapsed="false" customWidth="true" hidden="false" outlineLevel="0" max="3" min="3" style="0" width="26"/>
    <col collapsed="false" customWidth="true" hidden="false" outlineLevel="0" max="5" min="4" style="0" width="13"/>
    <col collapsed="false" customWidth="true" hidden="false" outlineLevel="0" max="6" min="6" style="0" width="46"/>
  </cols>
  <sheetData>
    <row r="1" customFormat="false" ht="16.15" hidden="false" customHeight="false" outlineLevel="0" collapsed="false">
      <c r="A1" s="1" t="s">
        <v>20</v>
      </c>
    </row>
    <row r="2" customFormat="false" ht="15" hidden="false" customHeight="false" outlineLevel="0" collapsed="false">
      <c r="A2" s="2" t="s">
        <v>21</v>
      </c>
    </row>
    <row r="4" customFormat="false" ht="31.5" hidden="false" customHeight="true" outlineLevel="0" collapsed="false">
      <c r="A4" s="3" t="s">
        <v>2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26</v>
      </c>
    </row>
    <row r="5" customFormat="false" ht="15" hidden="false" customHeight="false" outlineLevel="0" collapsed="false">
      <c r="A5" s="4" t="s">
        <v>17</v>
      </c>
      <c r="B5" s="8" t="n">
        <v>3.43</v>
      </c>
      <c r="C5" s="4" t="s">
        <v>27</v>
      </c>
      <c r="D5" s="8" t="n">
        <v>0.04</v>
      </c>
      <c r="E5" s="8" t="n">
        <v>0.03</v>
      </c>
      <c r="F5" s="4"/>
    </row>
    <row r="6" customFormat="false" ht="15" hidden="false" customHeight="false" outlineLevel="0" collapsed="false">
      <c r="A6" s="4" t="s">
        <v>10</v>
      </c>
      <c r="B6" s="8" t="n">
        <v>1.45</v>
      </c>
      <c r="C6" s="4" t="s">
        <v>27</v>
      </c>
      <c r="D6" s="8" t="n">
        <v>0.11</v>
      </c>
      <c r="E6" s="8" t="n">
        <v>0.17</v>
      </c>
      <c r="F6" s="4"/>
    </row>
    <row r="7" customFormat="false" ht="15" hidden="false" customHeight="false" outlineLevel="0" collapsed="false">
      <c r="A7" s="4" t="s">
        <v>15</v>
      </c>
      <c r="B7" s="8" t="n">
        <v>1.55</v>
      </c>
      <c r="C7" s="4" t="s">
        <v>27</v>
      </c>
      <c r="D7" s="8" t="n">
        <v>0.08</v>
      </c>
      <c r="E7" s="8" t="n">
        <v>0.04</v>
      </c>
      <c r="F7" s="4"/>
    </row>
    <row r="8" customFormat="false" ht="15" hidden="false" customHeight="false" outlineLevel="0" collapsed="false">
      <c r="A8" s="4" t="s">
        <v>28</v>
      </c>
      <c r="B8" s="8" t="n">
        <v>3.6</v>
      </c>
      <c r="C8" s="4" t="s">
        <v>27</v>
      </c>
      <c r="D8" s="8" t="n">
        <v>0.05</v>
      </c>
      <c r="E8" s="8" t="n">
        <v>5.13</v>
      </c>
      <c r="F8" s="4" t="s">
        <v>29</v>
      </c>
    </row>
    <row r="9" customFormat="false" ht="15" hidden="false" customHeight="false" outlineLevel="0" collapsed="false">
      <c r="A9" s="4" t="s">
        <v>30</v>
      </c>
      <c r="B9" s="8" t="n">
        <v>1.07</v>
      </c>
      <c r="C9" s="4" t="s">
        <v>27</v>
      </c>
      <c r="D9" s="8" t="n">
        <v>0.2</v>
      </c>
      <c r="E9" s="8" t="n">
        <v>0.15</v>
      </c>
      <c r="F9" s="4"/>
    </row>
    <row r="10" customFormat="false" ht="15" hidden="false" customHeight="false" outlineLevel="0" collapsed="false">
      <c r="A10" s="4" t="s">
        <v>31</v>
      </c>
      <c r="B10" s="8" t="n">
        <v>0.25</v>
      </c>
      <c r="C10" s="4" t="s">
        <v>32</v>
      </c>
      <c r="D10" s="8" t="n">
        <v>0.05</v>
      </c>
      <c r="E10" s="8" t="n">
        <v>0.09</v>
      </c>
      <c r="F10" s="4" t="s">
        <v>33</v>
      </c>
    </row>
    <row r="12" customFormat="false" ht="15" hidden="false" customHeight="false" outlineLevel="0" collapsed="false">
      <c r="A12" s="2" t="s">
        <v>34</v>
      </c>
    </row>
    <row r="13" customFormat="false" ht="15" hidden="false" customHeight="false" outlineLevel="0" collapsed="false">
      <c r="A13" s="2" t="s">
        <v>35</v>
      </c>
    </row>
    <row r="14" customFormat="false" ht="15" hidden="false" customHeight="false" outlineLevel="0" collapsed="false">
      <c r="A14" s="2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4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11" min="7" style="0" width="11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30"/>
  </cols>
  <sheetData>
    <row r="1" customFormat="false" ht="16.15" hidden="false" customHeight="false" outlineLevel="0" collapsed="false">
      <c r="A1" s="1" t="s">
        <v>37</v>
      </c>
    </row>
    <row r="2" customFormat="false" ht="15" hidden="false" customHeight="false" outlineLevel="0" collapsed="false">
      <c r="A2" s="2" t="s">
        <v>38</v>
      </c>
    </row>
    <row r="4" customFormat="false" ht="31.5" hidden="false" customHeight="true" outlineLevel="0" collapsed="false">
      <c r="A4" s="3" t="s">
        <v>5</v>
      </c>
      <c r="B4" s="3" t="s">
        <v>4</v>
      </c>
      <c r="C4" s="3" t="s">
        <v>39</v>
      </c>
      <c r="D4" s="3" t="s">
        <v>40</v>
      </c>
      <c r="E4" s="3" t="s">
        <v>41</v>
      </c>
      <c r="F4" s="3" t="s">
        <v>42</v>
      </c>
      <c r="G4" s="3" t="s">
        <v>43</v>
      </c>
      <c r="H4" s="3" t="s">
        <v>44</v>
      </c>
      <c r="I4" s="3" t="s">
        <v>45</v>
      </c>
      <c r="J4" s="3" t="s">
        <v>46</v>
      </c>
      <c r="K4" s="3" t="s">
        <v>47</v>
      </c>
      <c r="L4" s="3" t="s">
        <v>48</v>
      </c>
      <c r="M4" s="3" t="s">
        <v>49</v>
      </c>
      <c r="N4" s="3" t="s">
        <v>50</v>
      </c>
    </row>
    <row r="5" customFormat="false" ht="15" hidden="false" customHeight="false" outlineLevel="0" collapsed="false">
      <c r="A5" s="5" t="n">
        <v>15</v>
      </c>
      <c r="B5" s="4" t="s">
        <v>11</v>
      </c>
      <c r="C5" s="6" t="n">
        <v>1.2341</v>
      </c>
      <c r="D5" s="6" t="n">
        <v>0.0251</v>
      </c>
      <c r="E5" s="6" t="n">
        <v>1.2493</v>
      </c>
      <c r="F5" s="6" t="n">
        <v>0.0175</v>
      </c>
      <c r="G5" s="6" t="n">
        <v>0.026</v>
      </c>
      <c r="H5" s="6" t="n">
        <v>0.031</v>
      </c>
      <c r="I5" s="6" t="n">
        <v>-0.012</v>
      </c>
      <c r="J5" s="9" t="n">
        <f aca="false">AVERAGE(G5:I5)</f>
        <v>0.015</v>
      </c>
      <c r="K5" s="7" t="n">
        <f aca="false">J5/C5</f>
        <v>0.0121546065958998</v>
      </c>
      <c r="L5" s="10" t="n">
        <f aca="false">ABS(J5)/MAX(D5,F5)</f>
        <v>0.597609561752988</v>
      </c>
      <c r="M5" s="4" t="str">
        <f aca="false">IF(OR(AND(G5&gt;0,H5&gt;0,I5&gt;0),AND(G5&lt;0,H5&lt;0,I5&lt;0)),"yes","no")</f>
        <v>no</v>
      </c>
      <c r="N5" s="4" t="str">
        <f aca="false">IF(L5&lt;1,"no: within noise",IF(J5&lt;0,"yes","no: worse"))</f>
        <v>no: within noise</v>
      </c>
    </row>
    <row r="6" customFormat="false" ht="15" hidden="false" customHeight="false" outlineLevel="0" collapsed="false">
      <c r="A6" s="5" t="n">
        <v>15</v>
      </c>
      <c r="B6" s="4" t="s">
        <v>13</v>
      </c>
      <c r="C6" s="6" t="n">
        <v>2.6265</v>
      </c>
      <c r="D6" s="6" t="n">
        <v>0.0339</v>
      </c>
      <c r="E6" s="6" t="n">
        <v>2.6652</v>
      </c>
      <c r="F6" s="6" t="n">
        <v>0.0235</v>
      </c>
      <c r="G6" s="6" t="n">
        <v>0.058</v>
      </c>
      <c r="H6" s="6" t="n">
        <v>0.05</v>
      </c>
      <c r="I6" s="6" t="n">
        <v>0.007</v>
      </c>
      <c r="J6" s="9" t="n">
        <f aca="false">AVERAGE(G6:I6)</f>
        <v>0.0383333333333333</v>
      </c>
      <c r="K6" s="7" t="n">
        <f aca="false">J6/C6</f>
        <v>0.0145948346976331</v>
      </c>
      <c r="L6" s="10" t="n">
        <f aca="false">ABS(J6)/MAX(D6,F6)</f>
        <v>1.13077679449361</v>
      </c>
      <c r="M6" s="4" t="str">
        <f aca="false">IF(OR(AND(G6&gt;0,H6&gt;0,I6&gt;0),AND(G6&lt;0,H6&lt;0,I6&lt;0)),"yes","no")</f>
        <v>yes</v>
      </c>
      <c r="N6" s="4" t="str">
        <f aca="false">IF(L6&lt;1,"no: within noise",IF(J6&lt;0,"yes","no: worse"))</f>
        <v>no: worse</v>
      </c>
    </row>
    <row r="7" customFormat="false" ht="15" hidden="false" customHeight="false" outlineLevel="0" collapsed="false">
      <c r="A7" s="5" t="n">
        <v>15</v>
      </c>
      <c r="B7" s="4" t="s">
        <v>14</v>
      </c>
      <c r="C7" s="6" t="n">
        <v>17.1618</v>
      </c>
      <c r="D7" s="6" t="n">
        <v>0.3132</v>
      </c>
      <c r="E7" s="6" t="n">
        <v>17.5284</v>
      </c>
      <c r="F7" s="6" t="n">
        <v>0.5912</v>
      </c>
      <c r="G7" s="6" t="n">
        <v>0.148</v>
      </c>
      <c r="H7" s="6" t="n">
        <v>1.234</v>
      </c>
      <c r="I7" s="6" t="n">
        <v>-0.283</v>
      </c>
      <c r="J7" s="9" t="n">
        <f aca="false">AVERAGE(G7:I7)</f>
        <v>0.366333333333333</v>
      </c>
      <c r="K7" s="7" t="n">
        <f aca="false">J7/C7</f>
        <v>0.0213458572721587</v>
      </c>
      <c r="L7" s="10" t="n">
        <f aca="false">ABS(J7)/MAX(D7,F7)</f>
        <v>0.619643662607127</v>
      </c>
      <c r="M7" s="4" t="str">
        <f aca="false">IF(OR(AND(G7&gt;0,H7&gt;0,I7&gt;0),AND(G7&lt;0,H7&lt;0,I7&lt;0)),"yes","no")</f>
        <v>no</v>
      </c>
      <c r="N7" s="4" t="str">
        <f aca="false">IF(L7&lt;1,"no: within noise",IF(J7&lt;0,"yes","no: worse"))</f>
        <v>no: within noise</v>
      </c>
    </row>
    <row r="8" customFormat="false" ht="15" hidden="false" customHeight="false" outlineLevel="0" collapsed="false">
      <c r="A8" s="5" t="n">
        <v>15</v>
      </c>
      <c r="B8" s="4" t="s">
        <v>51</v>
      </c>
      <c r="C8" s="6" t="n">
        <v>15.9277</v>
      </c>
      <c r="D8" s="6" t="n">
        <v>0.2935</v>
      </c>
      <c r="E8" s="6" t="n">
        <v>16.2791</v>
      </c>
      <c r="F8" s="6" t="n">
        <v>0.5744</v>
      </c>
      <c r="G8" s="6" t="n">
        <v>0.122</v>
      </c>
      <c r="H8" s="6" t="n">
        <v>1.203</v>
      </c>
      <c r="I8" s="6" t="n">
        <v>-0.271</v>
      </c>
      <c r="J8" s="9" t="n">
        <f aca="false">AVERAGE(G8:I8)</f>
        <v>0.351333333333333</v>
      </c>
      <c r="K8" s="7" t="n">
        <f aca="false">J8/C8</f>
        <v>0.0220580079567881</v>
      </c>
      <c r="L8" s="10" t="n">
        <f aca="false">ABS(J8)/MAX(D8,F8)</f>
        <v>0.611652739090065</v>
      </c>
      <c r="M8" s="4" t="str">
        <f aca="false">IF(OR(AND(G8&gt;0,H8&gt;0,I8&gt;0),AND(G8&lt;0,H8&lt;0,I8&lt;0)),"yes","no")</f>
        <v>no</v>
      </c>
      <c r="N8" s="4" t="str">
        <f aca="false">IF(L8&lt;1,"no: within noise",IF(J8&lt;0,"yes","no: worse"))</f>
        <v>no: within noise</v>
      </c>
    </row>
    <row r="9" customFormat="false" ht="15" hidden="false" customHeight="false" outlineLevel="0" collapsed="false">
      <c r="A9" s="5" t="n">
        <v>15</v>
      </c>
      <c r="B9" s="4" t="s">
        <v>52</v>
      </c>
      <c r="C9" s="11" t="n">
        <v>0.8057</v>
      </c>
      <c r="D9" s="11" t="n">
        <v>0.0177</v>
      </c>
      <c r="E9" s="11" t="n">
        <v>0.8097</v>
      </c>
      <c r="F9" s="11" t="n">
        <v>0.0064</v>
      </c>
      <c r="G9" s="11" t="n">
        <v>0.02</v>
      </c>
      <c r="H9" s="11" t="n">
        <v>-0.022</v>
      </c>
      <c r="I9" s="11" t="n">
        <v>0.014</v>
      </c>
      <c r="J9" s="7" t="n">
        <f aca="false">AVERAGE(G9:I9)</f>
        <v>0.004</v>
      </c>
      <c r="K9" s="7" t="n">
        <f aca="false">J9/C9</f>
        <v>0.00496462703239419</v>
      </c>
      <c r="L9" s="10" t="n">
        <f aca="false">ABS(J9)/MAX(D9,F9)</f>
        <v>0.225988700564972</v>
      </c>
      <c r="M9" s="4" t="str">
        <f aca="false">IF(OR(AND(G9&gt;0,H9&gt;0,I9&gt;0),AND(G9&lt;0,H9&lt;0,I9&lt;0)),"yes","no")</f>
        <v>no</v>
      </c>
      <c r="N9" s="4" t="str">
        <f aca="false">IF(L9&lt;1,"no: within noise",IF(J9&gt;0,"yes","no: worse"))</f>
        <v>no: within noise</v>
      </c>
    </row>
    <row r="10" customFormat="false" ht="15" hidden="false" customHeight="false" outlineLevel="0" collapsed="false">
      <c r="A10" s="5" t="n">
        <v>30</v>
      </c>
      <c r="B10" s="4" t="s">
        <v>11</v>
      </c>
      <c r="C10" s="6" t="n">
        <v>1.5636</v>
      </c>
      <c r="D10" s="6" t="n">
        <v>0.0253</v>
      </c>
      <c r="E10" s="6" t="n">
        <v>1.5741</v>
      </c>
      <c r="F10" s="6" t="n">
        <v>0.0163</v>
      </c>
      <c r="G10" s="6" t="n">
        <v>0.019</v>
      </c>
      <c r="H10" s="6" t="n">
        <v>0.033</v>
      </c>
      <c r="I10" s="6" t="n">
        <v>-0.021</v>
      </c>
      <c r="J10" s="9" t="n">
        <f aca="false">AVERAGE(G10:I10)</f>
        <v>0.0103333333333333</v>
      </c>
      <c r="K10" s="7" t="n">
        <f aca="false">J10/C10</f>
        <v>0.00660868082203462</v>
      </c>
      <c r="L10" s="10" t="n">
        <f aca="false">ABS(J10)/MAX(D10,F10)</f>
        <v>0.408432147562582</v>
      </c>
      <c r="M10" s="4" t="str">
        <f aca="false">IF(OR(AND(G10&gt;0,H10&gt;0,I10&gt;0),AND(G10&lt;0,H10&lt;0,I10&lt;0)),"yes","no")</f>
        <v>no</v>
      </c>
      <c r="N10" s="4" t="str">
        <f aca="false">IF(L10&lt;1,"no: within noise",IF(J10&lt;0,"yes","no: worse"))</f>
        <v>no: within noise</v>
      </c>
    </row>
    <row r="11" customFormat="false" ht="15" hidden="false" customHeight="false" outlineLevel="0" collapsed="false">
      <c r="A11" s="5" t="n">
        <v>30</v>
      </c>
      <c r="B11" s="4" t="s">
        <v>13</v>
      </c>
      <c r="C11" s="6" t="n">
        <v>3.5318</v>
      </c>
      <c r="D11" s="6" t="n">
        <v>0.0173</v>
      </c>
      <c r="E11" s="6" t="n">
        <v>3.5437</v>
      </c>
      <c r="F11" s="6" t="n">
        <v>0.0125</v>
      </c>
      <c r="G11" s="6" t="n">
        <v>0.005</v>
      </c>
      <c r="H11" s="6" t="n">
        <v>0.034</v>
      </c>
      <c r="I11" s="6" t="n">
        <v>-0.004</v>
      </c>
      <c r="J11" s="9" t="n">
        <f aca="false">AVERAGE(G11:I11)</f>
        <v>0.0116666666666667</v>
      </c>
      <c r="K11" s="7" t="n">
        <f aca="false">J11/C11</f>
        <v>0.00330332030881326</v>
      </c>
      <c r="L11" s="10" t="n">
        <f aca="false">ABS(J11)/MAX(D11,F11)</f>
        <v>0.674373795761079</v>
      </c>
      <c r="M11" s="4" t="str">
        <f aca="false">IF(OR(AND(G11&gt;0,H11&gt;0,I11&gt;0),AND(G11&lt;0,H11&lt;0,I11&lt;0)),"yes","no")</f>
        <v>no</v>
      </c>
      <c r="N11" s="4" t="str">
        <f aca="false">IF(L11&lt;1,"no: within noise",IF(J11&lt;0,"yes","no: worse"))</f>
        <v>no: within noise</v>
      </c>
    </row>
    <row r="12" customFormat="false" ht="15" hidden="false" customHeight="false" outlineLevel="0" collapsed="false">
      <c r="A12" s="5" t="n">
        <v>30</v>
      </c>
      <c r="B12" s="4" t="s">
        <v>14</v>
      </c>
      <c r="C12" s="6" t="n">
        <v>28.6136</v>
      </c>
      <c r="D12" s="6" t="n">
        <v>0.6203</v>
      </c>
      <c r="E12" s="6" t="n">
        <v>29.1589</v>
      </c>
      <c r="F12" s="6" t="n">
        <v>0.2188</v>
      </c>
      <c r="G12" s="6" t="n">
        <v>0.38</v>
      </c>
      <c r="H12" s="6" t="n">
        <v>1.188</v>
      </c>
      <c r="I12" s="6" t="n">
        <v>0.068</v>
      </c>
      <c r="J12" s="9" t="n">
        <f aca="false">AVERAGE(G12:I12)</f>
        <v>0.545333333333333</v>
      </c>
      <c r="K12" s="7" t="n">
        <f aca="false">J12/C12</f>
        <v>0.0190585362671364</v>
      </c>
      <c r="L12" s="10" t="n">
        <f aca="false">ABS(J12)/MAX(D12,F12)</f>
        <v>0.879144499973131</v>
      </c>
      <c r="M12" s="4" t="str">
        <f aca="false">IF(OR(AND(G12&gt;0,H12&gt;0,I12&gt;0),AND(G12&lt;0,H12&lt;0,I12&lt;0)),"yes","no")</f>
        <v>yes</v>
      </c>
      <c r="N12" s="4" t="str">
        <f aca="false">IF(L12&lt;1,"no: within noise",IF(J12&lt;0,"yes","no: worse"))</f>
        <v>no: within noise</v>
      </c>
    </row>
    <row r="13" customFormat="false" ht="15" hidden="false" customHeight="false" outlineLevel="0" collapsed="false">
      <c r="A13" s="5" t="n">
        <v>30</v>
      </c>
      <c r="B13" s="4" t="s">
        <v>51</v>
      </c>
      <c r="C13" s="6" t="n">
        <v>27.05</v>
      </c>
      <c r="D13" s="6" t="n">
        <v>0.619</v>
      </c>
      <c r="E13" s="6" t="n">
        <v>27.5848</v>
      </c>
      <c r="F13" s="6" t="n">
        <v>0.2281</v>
      </c>
      <c r="G13" s="6" t="n">
        <v>0.361</v>
      </c>
      <c r="H13" s="6" t="n">
        <v>1.154</v>
      </c>
      <c r="I13" s="6" t="n">
        <v>0.089</v>
      </c>
      <c r="J13" s="9" t="n">
        <f aca="false">AVERAGE(G13:I13)</f>
        <v>0.534666666666667</v>
      </c>
      <c r="K13" s="7" t="n">
        <f aca="false">J13/C13</f>
        <v>0.019765865680838</v>
      </c>
      <c r="L13" s="10" t="n">
        <f aca="false">ABS(J13)/MAX(D13,F13)</f>
        <v>0.863758750673129</v>
      </c>
      <c r="M13" s="4" t="str">
        <f aca="false">IF(OR(AND(G13&gt;0,H13&gt;0,I13&gt;0),AND(G13&lt;0,H13&lt;0,I13&lt;0)),"yes","no")</f>
        <v>yes</v>
      </c>
      <c r="N13" s="4" t="str">
        <f aca="false">IF(L13&lt;1,"no: within noise",IF(J13&lt;0,"yes","no: worse"))</f>
        <v>no: within noise</v>
      </c>
    </row>
    <row r="14" customFormat="false" ht="15" hidden="false" customHeight="false" outlineLevel="0" collapsed="false">
      <c r="A14" s="5" t="n">
        <v>30</v>
      </c>
      <c r="B14" s="4" t="s">
        <v>52</v>
      </c>
      <c r="C14" s="11" t="n">
        <v>0.7087</v>
      </c>
      <c r="D14" s="11" t="n">
        <v>0.0233</v>
      </c>
      <c r="E14" s="11" t="n">
        <v>0.7014</v>
      </c>
      <c r="F14" s="11" t="n">
        <v>0.0185</v>
      </c>
      <c r="G14" s="11" t="n">
        <v>-0.004</v>
      </c>
      <c r="H14" s="11" t="n">
        <v>-0.015</v>
      </c>
      <c r="I14" s="11" t="n">
        <v>-0.002</v>
      </c>
      <c r="J14" s="7" t="n">
        <f aca="false">AVERAGE(G14:I14)</f>
        <v>-0.007</v>
      </c>
      <c r="K14" s="7" t="n">
        <f aca="false">J14/C14</f>
        <v>-0.00987724001693241</v>
      </c>
      <c r="L14" s="10" t="n">
        <f aca="false">ABS(J14)/MAX(D14,F14)</f>
        <v>0.300429184549356</v>
      </c>
      <c r="M14" s="4" t="str">
        <f aca="false">IF(OR(AND(G14&gt;0,H14&gt;0,I14&gt;0),AND(G14&lt;0,H14&lt;0,I14&lt;0)),"yes","no")</f>
        <v>yes</v>
      </c>
      <c r="N14" s="4" t="str">
        <f aca="false">IF(L14&lt;1,"no: within noise",IF(J14&gt;0,"yes","no: worse"))</f>
        <v>no: within noise</v>
      </c>
    </row>
    <row r="15" customFormat="false" ht="15" hidden="false" customHeight="false" outlineLevel="0" collapsed="false">
      <c r="A15" s="5" t="n">
        <v>60</v>
      </c>
      <c r="B15" s="4" t="s">
        <v>11</v>
      </c>
      <c r="C15" s="6" t="n">
        <v>2.0007</v>
      </c>
      <c r="D15" s="6" t="n">
        <v>0.0231</v>
      </c>
      <c r="E15" s="6" t="n">
        <v>2.017</v>
      </c>
      <c r="F15" s="6" t="n">
        <v>0.023</v>
      </c>
      <c r="G15" s="6" t="n">
        <v>0.024</v>
      </c>
      <c r="H15" s="6" t="n">
        <v>0.058</v>
      </c>
      <c r="I15" s="6" t="n">
        <v>-0.033</v>
      </c>
      <c r="J15" s="9" t="n">
        <f aca="false">AVERAGE(G15:I15)</f>
        <v>0.0163333333333333</v>
      </c>
      <c r="K15" s="7" t="n">
        <f aca="false">J15/C15</f>
        <v>0.00816380933339998</v>
      </c>
      <c r="L15" s="10" t="n">
        <f aca="false">ABS(J15)/MAX(D15,F15)</f>
        <v>0.707070707070707</v>
      </c>
      <c r="M15" s="4" t="str">
        <f aca="false">IF(OR(AND(G15&gt;0,H15&gt;0,I15&gt;0),AND(G15&lt;0,H15&lt;0,I15&lt;0)),"yes","no")</f>
        <v>no</v>
      </c>
      <c r="N15" s="4" t="str">
        <f aca="false">IF(L15&lt;1,"no: within noise",IF(J15&lt;0,"yes","no: worse"))</f>
        <v>no: within noise</v>
      </c>
    </row>
    <row r="16" customFormat="false" ht="15" hidden="false" customHeight="false" outlineLevel="0" collapsed="false">
      <c r="A16" s="5" t="n">
        <v>60</v>
      </c>
      <c r="B16" s="4" t="s">
        <v>13</v>
      </c>
      <c r="C16" s="6" t="n">
        <v>4.6012</v>
      </c>
      <c r="D16" s="6" t="n">
        <v>0.0563</v>
      </c>
      <c r="E16" s="6" t="n">
        <v>4.5761</v>
      </c>
      <c r="F16" s="6" t="n">
        <v>0.0098</v>
      </c>
      <c r="G16" s="6" t="n">
        <v>-0.089</v>
      </c>
      <c r="H16" s="6" t="n">
        <v>0.032</v>
      </c>
      <c r="I16" s="6" t="n">
        <v>-0.019</v>
      </c>
      <c r="J16" s="9" t="n">
        <f aca="false">AVERAGE(G16:I16)</f>
        <v>-0.0253333333333333</v>
      </c>
      <c r="K16" s="7" t="n">
        <f aca="false">J16/C16</f>
        <v>-0.00550581007853024</v>
      </c>
      <c r="L16" s="10" t="n">
        <f aca="false">ABS(J16)/MAX(D16,F16)</f>
        <v>0.449970396684429</v>
      </c>
      <c r="M16" s="4" t="str">
        <f aca="false">IF(OR(AND(G16&gt;0,H16&gt;0,I16&gt;0),AND(G16&lt;0,H16&lt;0,I16&lt;0)),"yes","no")</f>
        <v>no</v>
      </c>
      <c r="N16" s="4" t="str">
        <f aca="false">IF(L16&lt;1,"no: within noise",IF(J16&lt;0,"yes","no: worse"))</f>
        <v>no: within noise</v>
      </c>
    </row>
    <row r="17" customFormat="false" ht="15" hidden="false" customHeight="false" outlineLevel="0" collapsed="false">
      <c r="A17" s="5" t="n">
        <v>60</v>
      </c>
      <c r="B17" s="4" t="s">
        <v>14</v>
      </c>
      <c r="C17" s="6" t="n">
        <v>45.2314</v>
      </c>
      <c r="D17" s="6" t="n">
        <v>2.4242</v>
      </c>
      <c r="E17" s="6" t="n">
        <v>46.7992</v>
      </c>
      <c r="F17" s="6" t="n">
        <v>2.3414</v>
      </c>
      <c r="G17" s="6" t="n">
        <v>1.545</v>
      </c>
      <c r="H17" s="6" t="n">
        <v>2.108</v>
      </c>
      <c r="I17" s="6" t="n">
        <v>1.051</v>
      </c>
      <c r="J17" s="9" t="n">
        <f aca="false">AVERAGE(G17:I17)</f>
        <v>1.568</v>
      </c>
      <c r="K17" s="7" t="n">
        <f aca="false">J17/C17</f>
        <v>0.0346661832266965</v>
      </c>
      <c r="L17" s="10" t="n">
        <f aca="false">ABS(J17)/MAX(D17,F17)</f>
        <v>0.646811319198086</v>
      </c>
      <c r="M17" s="4" t="str">
        <f aca="false">IF(OR(AND(G17&gt;0,H17&gt;0,I17&gt;0),AND(G17&lt;0,H17&lt;0,I17&lt;0)),"yes","no")</f>
        <v>yes</v>
      </c>
      <c r="N17" s="4" t="str">
        <f aca="false">IF(L17&lt;1,"no: within noise",IF(J17&lt;0,"yes","no: worse"))</f>
        <v>no: within noise</v>
      </c>
    </row>
    <row r="18" customFormat="false" ht="15" hidden="false" customHeight="false" outlineLevel="0" collapsed="false">
      <c r="A18" s="5" t="n">
        <v>60</v>
      </c>
      <c r="B18" s="4" t="s">
        <v>51</v>
      </c>
      <c r="C18" s="6" t="n">
        <v>43.2307</v>
      </c>
      <c r="D18" s="6" t="n">
        <v>2.4205</v>
      </c>
      <c r="E18" s="6" t="n">
        <v>44.7823</v>
      </c>
      <c r="F18" s="6" t="n">
        <v>2.3364</v>
      </c>
      <c r="G18" s="6" t="n">
        <v>1.521</v>
      </c>
      <c r="H18" s="6" t="n">
        <v>2.05</v>
      </c>
      <c r="I18" s="6" t="n">
        <v>1.084</v>
      </c>
      <c r="J18" s="9" t="n">
        <f aca="false">AVERAGE(G18:I18)</f>
        <v>1.55166666666667</v>
      </c>
      <c r="K18" s="7" t="n">
        <f aca="false">J18/C18</f>
        <v>0.0358927027937708</v>
      </c>
      <c r="L18" s="10" t="n">
        <f aca="false">ABS(J18)/MAX(D18,F18)</f>
        <v>0.64105212421676</v>
      </c>
      <c r="M18" s="4" t="str">
        <f aca="false">IF(OR(AND(G18&gt;0,H18&gt;0,I18&gt;0),AND(G18&lt;0,H18&lt;0,I18&lt;0)),"yes","no")</f>
        <v>yes</v>
      </c>
      <c r="N18" s="4" t="str">
        <f aca="false">IF(L18&lt;1,"no: within noise",IF(J18&lt;0,"yes","no: worse"))</f>
        <v>no: within noise</v>
      </c>
    </row>
    <row r="19" customFormat="false" ht="15" hidden="false" customHeight="false" outlineLevel="0" collapsed="false">
      <c r="A19" s="5" t="n">
        <v>60</v>
      </c>
      <c r="B19" s="4" t="s">
        <v>52</v>
      </c>
      <c r="C19" s="11" t="n">
        <v>0.607</v>
      </c>
      <c r="D19" s="11" t="n">
        <v>0.0434</v>
      </c>
      <c r="E19" s="11" t="n">
        <v>0.5763</v>
      </c>
      <c r="F19" s="11" t="n">
        <v>0.049</v>
      </c>
      <c r="G19" s="11" t="n">
        <v>-0.037</v>
      </c>
      <c r="H19" s="11" t="n">
        <v>-0.026</v>
      </c>
      <c r="I19" s="11" t="n">
        <v>-0.029</v>
      </c>
      <c r="J19" s="7" t="n">
        <f aca="false">AVERAGE(G19:I19)</f>
        <v>-0.0306666666666667</v>
      </c>
      <c r="K19" s="7" t="n">
        <f aca="false">J19/C19</f>
        <v>-0.0505216913783635</v>
      </c>
      <c r="L19" s="10" t="n">
        <f aca="false">ABS(J19)/MAX(D19,F19)</f>
        <v>0.625850340136054</v>
      </c>
      <c r="M19" s="4" t="str">
        <f aca="false">IF(OR(AND(G19&gt;0,H19&gt;0,I19&gt;0),AND(G19&lt;0,H19&lt;0,I19&lt;0)),"yes","no")</f>
        <v>yes</v>
      </c>
      <c r="N19" s="4" t="str">
        <f aca="false">IF(L19&lt;1,"no: within noise",IF(J19&gt;0,"yes","no: worse"))</f>
        <v>no: within noise</v>
      </c>
    </row>
    <row r="22" customFormat="false" ht="15" hidden="false" customHeight="false" outlineLevel="0" collapsed="false">
      <c r="B22" s="12" t="s">
        <v>53</v>
      </c>
    </row>
    <row r="23" customFormat="false" ht="15" hidden="false" customHeight="false" outlineLevel="0" collapsed="false">
      <c r="A23" s="4"/>
      <c r="B23" s="4" t="s">
        <v>54</v>
      </c>
      <c r="C23" s="6" t="n">
        <v>1.041</v>
      </c>
    </row>
    <row r="24" customFormat="false" ht="15" hidden="false" customHeight="false" outlineLevel="0" collapsed="false">
      <c r="A24" s="4"/>
      <c r="B24" s="4" t="s">
        <v>55</v>
      </c>
      <c r="C24" s="6" t="n">
        <v>1.024</v>
      </c>
    </row>
    <row r="25" customFormat="false" ht="15" hidden="false" customHeight="false" outlineLevel="0" collapsed="false">
      <c r="A25" s="4"/>
      <c r="B25" s="4" t="s">
        <v>56</v>
      </c>
      <c r="C25" s="9" t="n">
        <f aca="false">C23-C24</f>
        <v>0.0169999999999999</v>
      </c>
    </row>
    <row r="26" customFormat="false" ht="15" hidden="false" customHeight="false" outlineLevel="0" collapsed="false">
      <c r="A26" s="4"/>
      <c r="B26" s="4" t="s">
        <v>57</v>
      </c>
      <c r="C26" s="9" t="n">
        <f aca="false">D5</f>
        <v>0.0251</v>
      </c>
    </row>
    <row r="27" customFormat="false" ht="15" hidden="false" customHeight="false" outlineLevel="0" collapsed="false">
      <c r="A27" s="4"/>
      <c r="B27" s="4" t="s">
        <v>58</v>
      </c>
      <c r="C27" s="10" t="n">
        <f aca="false">C25/C26</f>
        <v>0.677290836653383</v>
      </c>
    </row>
    <row r="29" customFormat="false" ht="15" hidden="false" customHeight="false" outlineLevel="0" collapsed="false">
      <c r="A29" s="2" t="s">
        <v>59</v>
      </c>
    </row>
    <row r="30" customFormat="false" ht="15" hidden="false" customHeight="false" outlineLevel="0" collapsed="false">
      <c r="A30" s="2" t="s">
        <v>60</v>
      </c>
    </row>
    <row r="31" customFormat="false" ht="15" hidden="false" customHeight="false" outlineLevel="0" collapsed="false">
      <c r="A31" s="2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8" min="7" style="0" width="11"/>
    <col collapsed="false" customWidth="true" hidden="false" outlineLevel="0" max="9" min="9" style="0" width="12"/>
  </cols>
  <sheetData>
    <row r="1" customFormat="false" ht="16.15" hidden="false" customHeight="false" outlineLevel="0" collapsed="false">
      <c r="A1" s="1" t="s">
        <v>62</v>
      </c>
    </row>
    <row r="2" customFormat="false" ht="15" hidden="false" customHeight="false" outlineLevel="0" collapsed="false">
      <c r="A2" s="2" t="s">
        <v>63</v>
      </c>
    </row>
    <row r="4" customFormat="false" ht="31.5" hidden="false" customHeight="true" outlineLevel="0" collapsed="false">
      <c r="A4" s="3" t="s">
        <v>64</v>
      </c>
      <c r="B4" s="3" t="s">
        <v>65</v>
      </c>
      <c r="C4" s="3" t="s">
        <v>5</v>
      </c>
      <c r="D4" s="3" t="s">
        <v>17</v>
      </c>
      <c r="E4" s="3" t="s">
        <v>10</v>
      </c>
      <c r="F4" s="3" t="s">
        <v>15</v>
      </c>
      <c r="G4" s="3" t="s">
        <v>66</v>
      </c>
      <c r="H4" s="3" t="s">
        <v>67</v>
      </c>
      <c r="I4" s="3" t="s">
        <v>68</v>
      </c>
    </row>
    <row r="5" customFormat="false" ht="15" hidden="false" customHeight="false" outlineLevel="0" collapsed="false">
      <c r="A5" s="4" t="s">
        <v>6</v>
      </c>
      <c r="B5" s="4" t="s">
        <v>69</v>
      </c>
      <c r="C5" s="5" t="n">
        <v>15</v>
      </c>
      <c r="D5" s="6" t="n">
        <v>1.276</v>
      </c>
      <c r="E5" s="6" t="n">
        <v>1.044</v>
      </c>
      <c r="F5" s="6" t="n">
        <v>1.06</v>
      </c>
      <c r="G5" s="7" t="n">
        <f aca="false">(D5-F5)/D5</f>
        <v>0.169278996865204</v>
      </c>
      <c r="H5" s="7" t="n">
        <f aca="false">(D5-E5)/D5</f>
        <v>0.181818181818182</v>
      </c>
      <c r="I5" s="7" t="n">
        <f aca="false">(E5-F5)/D5</f>
        <v>-0.0125391849529781</v>
      </c>
    </row>
    <row r="6" customFormat="false" ht="15" hidden="false" customHeight="false" outlineLevel="0" collapsed="false">
      <c r="A6" s="4" t="s">
        <v>6</v>
      </c>
      <c r="B6" s="4" t="s">
        <v>69</v>
      </c>
      <c r="C6" s="5" t="n">
        <v>30</v>
      </c>
      <c r="D6" s="6" t="n">
        <v>1.448</v>
      </c>
      <c r="E6" s="6" t="n">
        <v>1.255</v>
      </c>
      <c r="F6" s="6" t="n">
        <v>1.268</v>
      </c>
      <c r="G6" s="7" t="n">
        <f aca="false">(D6-F6)/D6</f>
        <v>0.124309392265193</v>
      </c>
      <c r="H6" s="7" t="n">
        <f aca="false">(D6-E6)/D6</f>
        <v>0.13328729281768</v>
      </c>
      <c r="I6" s="7" t="n">
        <f aca="false">(E6-F6)/D6</f>
        <v>-0.00897790055248627</v>
      </c>
    </row>
    <row r="7" customFormat="false" ht="15" hidden="false" customHeight="false" outlineLevel="0" collapsed="false">
      <c r="A7" s="4" t="s">
        <v>6</v>
      </c>
      <c r="B7" s="4" t="s">
        <v>69</v>
      </c>
      <c r="C7" s="5" t="n">
        <v>60</v>
      </c>
      <c r="D7" s="6" t="n">
        <v>1.717</v>
      </c>
      <c r="E7" s="6" t="n">
        <v>1.542</v>
      </c>
      <c r="F7" s="6" t="n">
        <v>1.555</v>
      </c>
      <c r="G7" s="7" t="n">
        <f aca="false">(D7-F7)/D7</f>
        <v>0.0943506115317415</v>
      </c>
      <c r="H7" s="7" t="n">
        <f aca="false">(D7-E7)/D7</f>
        <v>0.101921956901573</v>
      </c>
      <c r="I7" s="7" t="n">
        <f aca="false">(E7-F7)/D7</f>
        <v>-0.00757134536983104</v>
      </c>
    </row>
    <row r="8" customFormat="false" ht="15" hidden="false" customHeight="false" outlineLevel="0" collapsed="false">
      <c r="A8" s="4" t="s">
        <v>6</v>
      </c>
      <c r="B8" s="4" t="s">
        <v>70</v>
      </c>
      <c r="C8" s="5" t="n">
        <v>15</v>
      </c>
      <c r="D8" s="6" t="n">
        <v>1.42</v>
      </c>
      <c r="E8" s="6" t="n">
        <v>1.234</v>
      </c>
      <c r="F8" s="6" t="n">
        <v>1.249</v>
      </c>
      <c r="G8" s="7" t="n">
        <f aca="false">(D8-F8)/D8</f>
        <v>0.120422535211267</v>
      </c>
      <c r="H8" s="7" t="n">
        <f aca="false">(D8-E8)/D8</f>
        <v>0.130985915492958</v>
      </c>
      <c r="I8" s="7" t="n">
        <f aca="false">(E8-F8)/D8</f>
        <v>-0.0105633802816902</v>
      </c>
    </row>
    <row r="9" customFormat="false" ht="15" hidden="false" customHeight="false" outlineLevel="0" collapsed="false">
      <c r="A9" s="4" t="s">
        <v>6</v>
      </c>
      <c r="B9" s="4" t="s">
        <v>70</v>
      </c>
      <c r="C9" s="5" t="n">
        <v>30</v>
      </c>
      <c r="D9" s="6" t="n">
        <v>1.712</v>
      </c>
      <c r="E9" s="6" t="n">
        <v>1.564</v>
      </c>
      <c r="F9" s="6" t="n">
        <v>1.574</v>
      </c>
      <c r="G9" s="7" t="n">
        <f aca="false">(D9-F9)/D9</f>
        <v>0.080607476635514</v>
      </c>
      <c r="H9" s="7" t="n">
        <f aca="false">(D9-E9)/D9</f>
        <v>0.0864485981308411</v>
      </c>
      <c r="I9" s="7" t="n">
        <f aca="false">(E9-F9)/D9</f>
        <v>-0.00584112149532711</v>
      </c>
    </row>
    <row r="10" customFormat="false" ht="15" hidden="false" customHeight="false" outlineLevel="0" collapsed="false">
      <c r="A10" s="4" t="s">
        <v>6</v>
      </c>
      <c r="B10" s="4" t="s">
        <v>70</v>
      </c>
      <c r="C10" s="5" t="n">
        <v>60</v>
      </c>
      <c r="D10" s="6" t="n">
        <v>2.173</v>
      </c>
      <c r="E10" s="6" t="n">
        <v>2.001</v>
      </c>
      <c r="F10" s="6" t="n">
        <v>2.017</v>
      </c>
      <c r="G10" s="7" t="n">
        <f aca="false">(D10-F10)/D10</f>
        <v>0.0717901518637829</v>
      </c>
      <c r="H10" s="7" t="n">
        <f aca="false">(D10-E10)/D10</f>
        <v>0.0791532443626324</v>
      </c>
      <c r="I10" s="7" t="n">
        <f aca="false">(E10-F10)/D10</f>
        <v>-0.00736309249884952</v>
      </c>
    </row>
    <row r="11" customFormat="false" ht="15" hidden="false" customHeight="false" outlineLevel="0" collapsed="false">
      <c r="A11" s="4" t="s">
        <v>71</v>
      </c>
      <c r="B11" s="4" t="s">
        <v>69</v>
      </c>
      <c r="C11" s="5" t="n">
        <v>15</v>
      </c>
      <c r="D11" s="6" t="n">
        <v>1.202</v>
      </c>
      <c r="E11" s="6" t="n">
        <v>1.041</v>
      </c>
      <c r="F11" s="6" t="n">
        <v>1.024</v>
      </c>
      <c r="G11" s="7" t="n">
        <f aca="false">(D11-F11)/D11</f>
        <v>0.148086522462562</v>
      </c>
      <c r="H11" s="7" t="n">
        <f aca="false">(D11-E11)/D11</f>
        <v>0.133943427620632</v>
      </c>
      <c r="I11" s="7" t="n">
        <f aca="false">(E11-F11)/D11</f>
        <v>0.01414309484193</v>
      </c>
    </row>
    <row r="13" customFormat="false" ht="15" hidden="false" customHeight="false" outlineLevel="0" collapsed="false">
      <c r="A13" s="2" t="s">
        <v>72</v>
      </c>
    </row>
    <row r="14" customFormat="false" ht="15" hidden="false" customHeight="false" outlineLevel="0" collapsed="false">
      <c r="A14" s="2" t="s">
        <v>73</v>
      </c>
    </row>
    <row r="15" customFormat="false" ht="15" hidden="false" customHeight="false" outlineLevel="0" collapsed="false">
      <c r="A15" s="2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3" min="3" style="0" width="7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7" min="7" style="0" width="14"/>
    <col collapsed="false" customWidth="true" hidden="false" outlineLevel="0" max="8" min="8" style="0" width="18"/>
  </cols>
  <sheetData>
    <row r="1" customFormat="false" ht="16.15" hidden="false" customHeight="false" outlineLevel="0" collapsed="false">
      <c r="A1" s="1" t="s">
        <v>75</v>
      </c>
    </row>
    <row r="2" customFormat="false" ht="15" hidden="false" customHeight="false" outlineLevel="0" collapsed="false">
      <c r="A2" s="2" t="s">
        <v>76</v>
      </c>
    </row>
    <row r="4" customFormat="false" ht="31.5" hidden="false" customHeight="true" outlineLevel="0" collapsed="false">
      <c r="A4" s="3" t="s">
        <v>77</v>
      </c>
      <c r="B4" s="3" t="s">
        <v>2</v>
      </c>
      <c r="C4" s="3" t="s">
        <v>78</v>
      </c>
      <c r="D4" s="3" t="s">
        <v>79</v>
      </c>
      <c r="E4" s="3" t="s">
        <v>80</v>
      </c>
      <c r="F4" s="3" t="s">
        <v>5</v>
      </c>
      <c r="G4" s="3" t="s">
        <v>81</v>
      </c>
      <c r="H4" s="3" t="s">
        <v>82</v>
      </c>
    </row>
    <row r="5" customFormat="false" ht="15" hidden="false" customHeight="false" outlineLevel="0" collapsed="false">
      <c r="A5" s="4" t="s">
        <v>83</v>
      </c>
      <c r="B5" s="4" t="s">
        <v>17</v>
      </c>
      <c r="C5" s="5" t="n">
        <v>0</v>
      </c>
      <c r="D5" s="4" t="s">
        <v>84</v>
      </c>
      <c r="E5" s="13" t="n">
        <v>49</v>
      </c>
      <c r="F5" s="13" t="n">
        <v>48</v>
      </c>
      <c r="G5" s="14" t="n">
        <v>1.711</v>
      </c>
      <c r="H5" s="14" t="n">
        <v>1.7127</v>
      </c>
    </row>
    <row r="6" customFormat="false" ht="15" hidden="false" customHeight="false" outlineLevel="0" collapsed="false">
      <c r="A6" s="4" t="s">
        <v>85</v>
      </c>
      <c r="B6" s="4" t="s">
        <v>10</v>
      </c>
      <c r="C6" s="5" t="n">
        <v>0</v>
      </c>
      <c r="D6" s="4" t="s">
        <v>84</v>
      </c>
      <c r="E6" s="13" t="n">
        <v>43</v>
      </c>
      <c r="F6" s="13" t="n">
        <v>51</v>
      </c>
      <c r="G6" s="14" t="n">
        <v>1.5233</v>
      </c>
      <c r="H6" s="14" t="n">
        <v>1.5201</v>
      </c>
    </row>
    <row r="7" customFormat="false" ht="15" hidden="false" customHeight="false" outlineLevel="0" collapsed="false">
      <c r="A7" s="4" t="s">
        <v>86</v>
      </c>
      <c r="B7" s="4" t="s">
        <v>10</v>
      </c>
      <c r="C7" s="5" t="n">
        <v>1</v>
      </c>
      <c r="D7" s="4" t="s">
        <v>87</v>
      </c>
      <c r="E7" s="13" t="n">
        <v>35</v>
      </c>
      <c r="F7" s="13" t="n">
        <v>57</v>
      </c>
      <c r="G7" s="14" t="n">
        <v>1.5376</v>
      </c>
      <c r="H7" s="14" t="n">
        <v>1.5316</v>
      </c>
    </row>
    <row r="8" customFormat="false" ht="15" hidden="false" customHeight="false" outlineLevel="0" collapsed="false">
      <c r="A8" s="4" t="s">
        <v>88</v>
      </c>
      <c r="B8" s="4" t="s">
        <v>10</v>
      </c>
      <c r="C8" s="5" t="n">
        <v>2</v>
      </c>
      <c r="D8" s="4" t="s">
        <v>87</v>
      </c>
      <c r="E8" s="13" t="n">
        <v>44</v>
      </c>
      <c r="F8" s="13" t="n">
        <v>51</v>
      </c>
      <c r="G8" s="14" t="n">
        <v>1.5672</v>
      </c>
      <c r="H8" s="14" t="n">
        <v>1.5627</v>
      </c>
    </row>
    <row r="9" customFormat="false" ht="15" hidden="false" customHeight="false" outlineLevel="0" collapsed="false">
      <c r="A9" s="4" t="s">
        <v>89</v>
      </c>
      <c r="B9" s="4" t="s">
        <v>15</v>
      </c>
      <c r="C9" s="5" t="n">
        <v>0</v>
      </c>
      <c r="D9" s="4" t="s">
        <v>90</v>
      </c>
      <c r="E9" s="13" t="n">
        <v>30</v>
      </c>
      <c r="F9" s="13"/>
      <c r="G9" s="14" t="n">
        <v>1.538</v>
      </c>
      <c r="H9" s="14"/>
    </row>
    <row r="10" customFormat="false" ht="15" hidden="false" customHeight="false" outlineLevel="0" collapsed="false">
      <c r="A10" s="4" t="s">
        <v>91</v>
      </c>
      <c r="B10" s="4" t="s">
        <v>15</v>
      </c>
      <c r="C10" s="5" t="n">
        <v>1</v>
      </c>
      <c r="D10" s="4" t="s">
        <v>90</v>
      </c>
      <c r="E10" s="13" t="n">
        <v>48</v>
      </c>
      <c r="F10" s="13"/>
      <c r="G10" s="14" t="n">
        <v>1.5736</v>
      </c>
      <c r="H10" s="14"/>
    </row>
    <row r="11" customFormat="false" ht="15" hidden="false" customHeight="false" outlineLevel="0" collapsed="false">
      <c r="A11" s="4" t="s">
        <v>92</v>
      </c>
      <c r="B11" s="4" t="s">
        <v>15</v>
      </c>
      <c r="C11" s="5" t="n">
        <v>2</v>
      </c>
      <c r="D11" s="4" t="s">
        <v>90</v>
      </c>
      <c r="E11" s="13" t="n">
        <v>46</v>
      </c>
      <c r="F11" s="13"/>
      <c r="G11" s="14" t="n">
        <v>1.5455</v>
      </c>
      <c r="H11" s="14"/>
    </row>
    <row r="13" customFormat="false" ht="15" hidden="false" customHeight="false" outlineLevel="0" collapsed="false">
      <c r="A13" s="2" t="s">
        <v>93</v>
      </c>
    </row>
    <row r="14" customFormat="false" ht="15" hidden="false" customHeight="false" outlineLevel="0" collapsed="false">
      <c r="A14" s="2" t="s">
        <v>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2026-10-25T13:16:49Z</dcterms:created>
  <dc:creator>openpyxl</dc:creator>
  <dc:description/>
  <dc:language>en-US</dc:language>
  <cp:lastModifiedBy/>
  <dcterms:modified xsi:type="dcterms:W3CDTF">2026-10-25T13:16:49Z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