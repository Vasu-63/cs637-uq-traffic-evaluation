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EMSD8 vs Table 1" sheetId="1" state="visible" r:id="rId1"/>
    <sheet xmlns:r="http://schemas.openxmlformats.org/officeDocument/2006/relationships" name="PEMSD4 vs Table 1" sheetId="2" state="visible" r:id="rId2"/>
    <sheet xmlns:r="http://schemas.openxmlformats.org/officeDocument/2006/relationships" name="Seed check" sheetId="3" state="visible" r:id="rId3"/>
    <sheet xmlns:r="http://schemas.openxmlformats.org/officeDocument/2006/relationships" name="Gain split" sheetId="4" state="visible" r:id="rId4"/>
    <sheet xmlns:r="http://schemas.openxmlformats.org/officeDocument/2006/relationships" name="Run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2F4F6F"/>
        <bgColor rgb="FF555555"/>
      </patternFill>
    </fill>
  </fills>
  <borders count="2">
    <border>
      <left/>
      <right/>
      <top/>
      <bottom/>
      <diagonal/>
    </border>
    <border>
      <left/>
      <right/>
      <top/>
      <bottom style="thin">
        <color rgb="FFC8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ED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8" customWidth="1" style="15" min="2" max="2"/>
    <col width="16" customWidth="1" style="15" min="3" max="3"/>
    <col width="9" customWidth="1" style="15" min="4" max="4"/>
    <col width="10" customWidth="1" style="15" min="5" max="5"/>
    <col width="14" customWidth="1" style="15" min="6" max="6"/>
    <col width="10" customWidth="1" style="15" min="7" max="7"/>
    <col width="52" customWidth="1" style="15" min="8" max="8"/>
  </cols>
  <sheetData>
    <row r="1" ht="16.15" customHeight="1" s="16">
      <c r="A1" s="17" t="inlineStr">
        <is>
          <t>PEMSD8: our retrained models vs paper Table 1</t>
        </is>
      </c>
    </row>
    <row r="2" ht="15" customHeight="1" s="16">
      <c r="A2" s="18" t="inlineStr">
        <is>
          <t>Averaged reading ("15 min" = average over steps 1-3, etc.), test set. Blue = values from our runs or the paper; black = formulas.</t>
        </is>
      </c>
    </row>
    <row r="3"/>
    <row r="4" ht="31.5" customHeight="1" s="16">
      <c r="A4" s="19" t="inlineStr">
        <is>
          <t>Model</t>
        </is>
      </c>
      <c r="B4" s="19" t="inlineStr">
        <is>
          <t>Seeds</t>
        </is>
      </c>
      <c r="C4" s="19" t="inlineStr">
        <is>
          <t>Metric</t>
        </is>
      </c>
      <c r="D4" s="19" t="inlineStr">
        <is>
          <t>Minutes</t>
        </is>
      </c>
      <c r="E4" s="19" t="inlineStr">
        <is>
          <t>Ours</t>
        </is>
      </c>
      <c r="F4" s="19" t="inlineStr">
        <is>
          <t>Paper (Table 1)</t>
        </is>
      </c>
      <c r="G4" s="19" t="inlineStr">
        <is>
          <t>Diff (%)</t>
        </is>
      </c>
      <c r="H4" s="19" t="inlineStr">
        <is>
          <t>Source of "Ours"</t>
        </is>
      </c>
    </row>
    <row r="5" ht="15" customHeight="1" s="16">
      <c r="A5" s="20" t="inlineStr">
        <is>
          <t>GPDE+Quantile</t>
        </is>
      </c>
      <c r="B5" s="21" t="n">
        <v>3</v>
      </c>
      <c r="C5" s="20" t="inlineStr">
        <is>
          <t>MAE</t>
        </is>
      </c>
      <c r="D5" s="21" t="n">
        <v>15</v>
      </c>
      <c r="E5" s="22" t="n">
        <v>1.044</v>
      </c>
      <c r="F5" s="22" t="n">
        <v>1.041</v>
      </c>
      <c r="G5" s="23">
        <f>(E5-F5)/F5</f>
        <v/>
      </c>
      <c r="H5" s="20" t="inlineStr">
        <is>
          <t>p1/results/pemsd8_trio_vs_table1.csv</t>
        </is>
      </c>
    </row>
    <row r="6" ht="15" customHeight="1" s="16">
      <c r="A6" s="20" t="inlineStr">
        <is>
          <t>GPDE+Quantile</t>
        </is>
      </c>
      <c r="B6" s="21" t="n">
        <v>3</v>
      </c>
      <c r="C6" s="20" t="inlineStr">
        <is>
          <t>MAE</t>
        </is>
      </c>
      <c r="D6" s="21" t="n">
        <v>30</v>
      </c>
      <c r="E6" s="22" t="n">
        <v>1.255</v>
      </c>
      <c r="F6" s="22" t="n">
        <v>1.251</v>
      </c>
      <c r="G6" s="23">
        <f>(E6-F6)/F6</f>
        <v/>
      </c>
      <c r="H6" s="20" t="inlineStr">
        <is>
          <t>p1/results/pemsd8_trio_vs_table1.csv</t>
        </is>
      </c>
    </row>
    <row r="7" ht="15" customHeight="1" s="16">
      <c r="A7" s="20" t="inlineStr">
        <is>
          <t>GPDE+Quantile</t>
        </is>
      </c>
      <c r="B7" s="21" t="n">
        <v>3</v>
      </c>
      <c r="C7" s="20" t="inlineStr">
        <is>
          <t>MAE</t>
        </is>
      </c>
      <c r="D7" s="21" t="n">
        <v>60</v>
      </c>
      <c r="E7" s="22" t="n">
        <v>1.542</v>
      </c>
      <c r="F7" s="22" t="n">
        <v>1.54</v>
      </c>
      <c r="G7" s="23">
        <f>(E7-F7)/F7</f>
        <v/>
      </c>
      <c r="H7" s="20" t="inlineStr">
        <is>
          <t>p1/results/pemsd8_trio_vs_table1.csv</t>
        </is>
      </c>
    </row>
    <row r="8" ht="15" customHeight="1" s="16">
      <c r="A8" s="20" t="inlineStr">
        <is>
          <t>GPDE+Quantile</t>
        </is>
      </c>
      <c r="B8" s="21" t="n">
        <v>3</v>
      </c>
      <c r="C8" s="20" t="inlineStr">
        <is>
          <t>RMSE</t>
        </is>
      </c>
      <c r="D8" s="21" t="n">
        <v>15</v>
      </c>
      <c r="E8" s="22" t="n">
        <v>2.172</v>
      </c>
      <c r="F8" s="22" t="n">
        <v>2.175</v>
      </c>
      <c r="G8" s="23">
        <f>(E8-F8)/F8</f>
        <v/>
      </c>
      <c r="H8" s="20" t="inlineStr">
        <is>
          <t>p1/results/pemsd8_trio_vs_table1.csv</t>
        </is>
      </c>
    </row>
    <row r="9" ht="15" customHeight="1" s="16">
      <c r="A9" s="20" t="inlineStr">
        <is>
          <t>GPDE+Quantile</t>
        </is>
      </c>
      <c r="B9" s="21" t="n">
        <v>3</v>
      </c>
      <c r="C9" s="20" t="inlineStr">
        <is>
          <t>RMSE</t>
        </is>
      </c>
      <c r="D9" s="21" t="n">
        <v>30</v>
      </c>
      <c r="E9" s="22" t="n">
        <v>2.778</v>
      </c>
      <c r="F9" s="22" t="n">
        <v>2.78</v>
      </c>
      <c r="G9" s="23">
        <f>(E9-F9)/F9</f>
        <v/>
      </c>
      <c r="H9" s="20" t="inlineStr">
        <is>
          <t>p1/results/pemsd8_trio_vs_table1.csv</t>
        </is>
      </c>
    </row>
    <row r="10" ht="15" customHeight="1" s="16">
      <c r="A10" s="20" t="inlineStr">
        <is>
          <t>GPDE+Quantile</t>
        </is>
      </c>
      <c r="B10" s="21" t="n">
        <v>3</v>
      </c>
      <c r="C10" s="20" t="inlineStr">
        <is>
          <t>RMSE</t>
        </is>
      </c>
      <c r="D10" s="21" t="n">
        <v>60</v>
      </c>
      <c r="E10" s="22" t="n">
        <v>3.566</v>
      </c>
      <c r="F10" s="22" t="n">
        <v>3.565</v>
      </c>
      <c r="G10" s="23">
        <f>(E10-F10)/F10</f>
        <v/>
      </c>
      <c r="H10" s="20" t="inlineStr">
        <is>
          <t>p1/results/pemsd8_trio_vs_table1.csv</t>
        </is>
      </c>
    </row>
    <row r="11" ht="15" customHeight="1" s="16">
      <c r="A11" s="20" t="inlineStr">
        <is>
          <t>GPDE+Quantile</t>
        </is>
      </c>
      <c r="B11" s="21" t="n">
        <v>3</v>
      </c>
      <c r="C11" s="20" t="inlineStr">
        <is>
          <t>MIS (authors)</t>
        </is>
      </c>
      <c r="D11" s="21" t="n">
        <v>15</v>
      </c>
      <c r="E11" s="22" t="n">
        <v>12.385</v>
      </c>
      <c r="F11" s="22" t="n">
        <v>12.633</v>
      </c>
      <c r="G11" s="23">
        <f>(E11-F11)/F11</f>
        <v/>
      </c>
      <c r="H11" s="20" t="inlineStr">
        <is>
          <t>p1/results/pemsd8_trio_vs_table1.csv</t>
        </is>
      </c>
    </row>
    <row r="12" ht="15" customHeight="1" s="16">
      <c r="A12" s="20" t="inlineStr">
        <is>
          <t>GPDE+Quantile</t>
        </is>
      </c>
      <c r="B12" s="21" t="n">
        <v>3</v>
      </c>
      <c r="C12" s="20" t="inlineStr">
        <is>
          <t>MIS (authors)</t>
        </is>
      </c>
      <c r="D12" s="21" t="n">
        <v>30</v>
      </c>
      <c r="E12" s="22" t="n">
        <v>18.732</v>
      </c>
      <c r="F12" s="22" t="n">
        <v>19.2</v>
      </c>
      <c r="G12" s="23">
        <f>(E12-F12)/F12</f>
        <v/>
      </c>
      <c r="H12" s="20" t="inlineStr">
        <is>
          <t>p1/results/pemsd8_trio_vs_table1.csv</t>
        </is>
      </c>
    </row>
    <row r="13" ht="15" customHeight="1" s="16">
      <c r="A13" s="20" t="inlineStr">
        <is>
          <t>GPDE+Quantile</t>
        </is>
      </c>
      <c r="B13" s="21" t="n">
        <v>3</v>
      </c>
      <c r="C13" s="20" t="inlineStr">
        <is>
          <t>MIS (authors)</t>
        </is>
      </c>
      <c r="D13" s="21" t="n">
        <v>60</v>
      </c>
      <c r="E13" s="22" t="n">
        <v>28.704</v>
      </c>
      <c r="F13" s="22" t="n">
        <v>29.76</v>
      </c>
      <c r="G13" s="23">
        <f>(E13-F13)/F13</f>
        <v/>
      </c>
      <c r="H13" s="20" t="inlineStr">
        <is>
          <t>p1/results/pemsd8_trio_vs_table1.csv</t>
        </is>
      </c>
    </row>
    <row r="14" ht="15" customHeight="1" s="16">
      <c r="A14" s="20" t="inlineStr">
        <is>
          <t>GPDE+Quantile+Phy</t>
        </is>
      </c>
      <c r="B14" s="21" t="n">
        <v>3</v>
      </c>
      <c r="C14" s="20" t="inlineStr">
        <is>
          <t>MAE</t>
        </is>
      </c>
      <c r="D14" s="21" t="n">
        <v>15</v>
      </c>
      <c r="E14" s="22" t="n">
        <v>1.06</v>
      </c>
      <c r="F14" s="22" t="n">
        <v>1.024</v>
      </c>
      <c r="G14" s="23">
        <f>(E14-F14)/F14</f>
        <v/>
      </c>
      <c r="H14" s="20" t="inlineStr">
        <is>
          <t>p2/results/horizon_metrics.csv (implementation runs, lambda 0.002)</t>
        </is>
      </c>
    </row>
    <row r="15" ht="15" customHeight="1" s="16">
      <c r="A15" s="20" t="inlineStr">
        <is>
          <t>GPDE+Quantile+Phy</t>
        </is>
      </c>
      <c r="B15" s="21" t="n">
        <v>3</v>
      </c>
      <c r="C15" s="20" t="inlineStr">
        <is>
          <t>MAE</t>
        </is>
      </c>
      <c r="D15" s="21" t="n">
        <v>30</v>
      </c>
      <c r="E15" s="22" t="n">
        <v>1.268</v>
      </c>
      <c r="F15" s="22" t="n">
        <v>1.236</v>
      </c>
      <c r="G15" s="23">
        <f>(E15-F15)/F15</f>
        <v/>
      </c>
      <c r="H15" s="20" t="inlineStr">
        <is>
          <t>p2/results/horizon_metrics.csv (implementation runs, lambda 0.002)</t>
        </is>
      </c>
    </row>
    <row r="16" ht="15" customHeight="1" s="16">
      <c r="A16" s="20" t="inlineStr">
        <is>
          <t>GPDE+Quantile+Phy</t>
        </is>
      </c>
      <c r="B16" s="21" t="n">
        <v>3</v>
      </c>
      <c r="C16" s="20" t="inlineStr">
        <is>
          <t>MAE</t>
        </is>
      </c>
      <c r="D16" s="21" t="n">
        <v>60</v>
      </c>
      <c r="E16" s="22" t="n">
        <v>1.555</v>
      </c>
      <c r="F16" s="22" t="n">
        <v>1.521</v>
      </c>
      <c r="G16" s="23">
        <f>(E16-F16)/F16</f>
        <v/>
      </c>
      <c r="H16" s="20" t="inlineStr">
        <is>
          <t>p2/results/horizon_metrics.csv (implementation runs, lambda 0.002)</t>
        </is>
      </c>
    </row>
    <row r="17" ht="15" customHeight="1" s="16">
      <c r="A17" s="20" t="inlineStr">
        <is>
          <t>GPDE+Quantile+Phy</t>
        </is>
      </c>
      <c r="B17" s="21" t="n">
        <v>3</v>
      </c>
      <c r="C17" s="20" t="inlineStr">
        <is>
          <t>RMSE</t>
        </is>
      </c>
      <c r="D17" s="21" t="n">
        <v>15</v>
      </c>
      <c r="E17" s="22" t="n">
        <v>2.212</v>
      </c>
      <c r="F17" s="22" t="n">
        <v>2.162</v>
      </c>
      <c r="G17" s="23">
        <f>(E17-F17)/F17</f>
        <v/>
      </c>
      <c r="H17" s="20" t="inlineStr">
        <is>
          <t>p2/results/horizon_metrics.csv (implementation runs, lambda 0.002)</t>
        </is>
      </c>
    </row>
    <row r="18" ht="15" customHeight="1" s="16">
      <c r="A18" s="20" t="inlineStr">
        <is>
          <t>GPDE+Quantile+Phy</t>
        </is>
      </c>
      <c r="B18" s="21" t="n">
        <v>3</v>
      </c>
      <c r="C18" s="20" t="inlineStr">
        <is>
          <t>RMSE</t>
        </is>
      </c>
      <c r="D18" s="21" t="n">
        <v>30</v>
      </c>
      <c r="E18" s="22" t="n">
        <v>2.805</v>
      </c>
      <c r="F18" s="22" t="n">
        <v>2.774</v>
      </c>
      <c r="G18" s="23">
        <f>(E18-F18)/F18</f>
        <v/>
      </c>
      <c r="H18" s="20" t="inlineStr">
        <is>
          <t>p2/results/horizon_metrics.csv (implementation runs, lambda 0.002)</t>
        </is>
      </c>
    </row>
    <row r="19" ht="15" customHeight="1" s="16">
      <c r="A19" s="20" t="inlineStr">
        <is>
          <t>GPDE+Quantile+Phy</t>
        </is>
      </c>
      <c r="B19" s="21" t="n">
        <v>3</v>
      </c>
      <c r="C19" s="20" t="inlineStr">
        <is>
          <t>RMSE</t>
        </is>
      </c>
      <c r="D19" s="21" t="n">
        <v>60</v>
      </c>
      <c r="E19" s="22" t="n">
        <v>3.569</v>
      </c>
      <c r="F19" s="22" t="n">
        <v>3.539</v>
      </c>
      <c r="G19" s="23">
        <f>(E19-F19)/F19</f>
        <v/>
      </c>
      <c r="H19" s="20" t="inlineStr">
        <is>
          <t>p2/results/horizon_metrics.csv (implementation runs, lambda 0.002)</t>
        </is>
      </c>
    </row>
    <row r="20" ht="15" customHeight="1" s="16">
      <c r="A20" s="20" t="inlineStr">
        <is>
          <t>GPDE+Quantile+Phy</t>
        </is>
      </c>
      <c r="B20" s="21" t="n">
        <v>3</v>
      </c>
      <c r="C20" s="20" t="inlineStr">
        <is>
          <t>MIS (authors)</t>
        </is>
      </c>
      <c r="D20" s="21" t="n">
        <v>15</v>
      </c>
      <c r="E20" s="22" t="n">
        <v>12.581</v>
      </c>
      <c r="F20" s="22" t="n">
        <v>12.063</v>
      </c>
      <c r="G20" s="23">
        <f>(E20-F20)/F20</f>
        <v/>
      </c>
      <c r="H20" s="20" t="inlineStr">
        <is>
          <t>p2/results/horizon_metrics.csv (implementation runs, lambda 0.002)</t>
        </is>
      </c>
    </row>
    <row r="21" ht="15" customHeight="1" s="16">
      <c r="A21" s="20" t="inlineStr">
        <is>
          <t>GPDE+Quantile+Phy</t>
        </is>
      </c>
      <c r="B21" s="21" t="n">
        <v>3</v>
      </c>
      <c r="C21" s="20" t="inlineStr">
        <is>
          <t>MIS (authors)</t>
        </is>
      </c>
      <c r="D21" s="21" t="n">
        <v>30</v>
      </c>
      <c r="E21" s="22" t="n">
        <v>19.06</v>
      </c>
      <c r="F21" s="22" t="n">
        <v>18.497</v>
      </c>
      <c r="G21" s="23">
        <f>(E21-F21)/F21</f>
        <v/>
      </c>
      <c r="H21" s="20" t="inlineStr">
        <is>
          <t>p2/results/horizon_metrics.csv (implementation runs, lambda 0.002)</t>
        </is>
      </c>
    </row>
    <row r="22" ht="15" customHeight="1" s="16">
      <c r="A22" s="20" t="inlineStr">
        <is>
          <t>GPDE+Quantile+Phy</t>
        </is>
      </c>
      <c r="B22" s="21" t="n">
        <v>3</v>
      </c>
      <c r="C22" s="20" t="inlineStr">
        <is>
          <t>MIS (authors)</t>
        </is>
      </c>
      <c r="D22" s="21" t="n">
        <v>60</v>
      </c>
      <c r="E22" s="22" t="n">
        <v>29.414</v>
      </c>
      <c r="F22" s="22" t="n">
        <v>28.812</v>
      </c>
      <c r="G22" s="23">
        <f>(E22-F22)/F22</f>
        <v/>
      </c>
      <c r="H22" s="20" t="inlineStr">
        <is>
          <t>p2/results/horizon_metrics.csv (implementation runs, lambda 0.002)</t>
        </is>
      </c>
    </row>
    <row r="23" ht="15" customHeight="1" s="16">
      <c r="A23" s="20" t="inlineStr">
        <is>
          <t>Quantile</t>
        </is>
      </c>
      <c r="B23" s="21" t="n">
        <v>1</v>
      </c>
      <c r="C23" s="20" t="inlineStr">
        <is>
          <t>MAE</t>
        </is>
      </c>
      <c r="D23" s="21" t="n">
        <v>15</v>
      </c>
      <c r="E23" s="22" t="n">
        <v>1.276</v>
      </c>
      <c r="F23" s="22" t="n">
        <v>1.202</v>
      </c>
      <c r="G23" s="23">
        <f>(E23-F23)/F23</f>
        <v/>
      </c>
      <c r="H23" s="20" t="inlineStr">
        <is>
          <t>p1/results/pemsd8_trio_vs_table1.csv</t>
        </is>
      </c>
    </row>
    <row r="24" ht="15" customHeight="1" s="16">
      <c r="A24" s="20" t="inlineStr">
        <is>
          <t>Quantile</t>
        </is>
      </c>
      <c r="B24" s="21" t="n">
        <v>1</v>
      </c>
      <c r="C24" s="20" t="inlineStr">
        <is>
          <t>MAE</t>
        </is>
      </c>
      <c r="D24" s="21" t="n">
        <v>30</v>
      </c>
      <c r="E24" s="22" t="n">
        <v>1.448</v>
      </c>
      <c r="F24" s="22" t="n">
        <v>1.386</v>
      </c>
      <c r="G24" s="23">
        <f>(E24-F24)/F24</f>
        <v/>
      </c>
      <c r="H24" s="20" t="inlineStr">
        <is>
          <t>p1/results/pemsd8_trio_vs_table1.csv</t>
        </is>
      </c>
    </row>
    <row r="25" ht="15" customHeight="1" s="16">
      <c r="A25" s="20" t="inlineStr">
        <is>
          <t>Quantile</t>
        </is>
      </c>
      <c r="B25" s="21" t="n">
        <v>1</v>
      </c>
      <c r="C25" s="20" t="inlineStr">
        <is>
          <t>MAE</t>
        </is>
      </c>
      <c r="D25" s="21" t="n">
        <v>60</v>
      </c>
      <c r="E25" s="22" t="n">
        <v>1.717</v>
      </c>
      <c r="F25" s="22" t="n">
        <v>1.666</v>
      </c>
      <c r="G25" s="23">
        <f>(E25-F25)/F25</f>
        <v/>
      </c>
      <c r="H25" s="20" t="inlineStr">
        <is>
          <t>p1/results/pemsd8_trio_vs_table1.csv</t>
        </is>
      </c>
    </row>
    <row r="26" ht="15" customHeight="1" s="16">
      <c r="A26" s="20" t="inlineStr">
        <is>
          <t>Quantile</t>
        </is>
      </c>
      <c r="B26" s="21" t="n">
        <v>1</v>
      </c>
      <c r="C26" s="20" t="inlineStr">
        <is>
          <t>RMSE</t>
        </is>
      </c>
      <c r="D26" s="21" t="n">
        <v>15</v>
      </c>
      <c r="E26" s="22" t="n">
        <v>2.729</v>
      </c>
      <c r="F26" s="22" t="n">
        <v>2.557</v>
      </c>
      <c r="G26" s="23">
        <f>(E26-F26)/F26</f>
        <v/>
      </c>
      <c r="H26" s="20" t="inlineStr">
        <is>
          <t>p1/results/pemsd8_trio_vs_table1.csv</t>
        </is>
      </c>
    </row>
    <row r="27" ht="15" customHeight="1" s="16">
      <c r="A27" s="20" t="inlineStr">
        <is>
          <t>Quantile</t>
        </is>
      </c>
      <c r="B27" s="21" t="n">
        <v>1</v>
      </c>
      <c r="C27" s="20" t="inlineStr">
        <is>
          <t>RMSE</t>
        </is>
      </c>
      <c r="D27" s="21" t="n">
        <v>30</v>
      </c>
      <c r="E27" s="22" t="n">
        <v>3.201</v>
      </c>
      <c r="F27" s="22" t="n">
        <v>3.074</v>
      </c>
      <c r="G27" s="23">
        <f>(E27-F27)/F27</f>
        <v/>
      </c>
      <c r="H27" s="20" t="inlineStr">
        <is>
          <t>p1/results/pemsd8_trio_vs_table1.csv</t>
        </is>
      </c>
    </row>
    <row r="28" ht="15" customHeight="1" s="16">
      <c r="A28" s="20" t="inlineStr">
        <is>
          <t>Quantile</t>
        </is>
      </c>
      <c r="B28" s="21" t="n">
        <v>1</v>
      </c>
      <c r="C28" s="20" t="inlineStr">
        <is>
          <t>RMSE</t>
        </is>
      </c>
      <c r="D28" s="21" t="n">
        <v>60</v>
      </c>
      <c r="E28" s="22" t="n">
        <v>3.9</v>
      </c>
      <c r="F28" s="22" t="n">
        <v>3.823</v>
      </c>
      <c r="G28" s="23">
        <f>(E28-F28)/F28</f>
        <v/>
      </c>
      <c r="H28" s="20" t="inlineStr">
        <is>
          <t>p1/results/pemsd8_trio_vs_table1.csv</t>
        </is>
      </c>
    </row>
    <row r="29" ht="15" customHeight="1" s="16">
      <c r="A29" s="20" t="inlineStr">
        <is>
          <t>Quantile</t>
        </is>
      </c>
      <c r="B29" s="21" t="n">
        <v>1</v>
      </c>
      <c r="C29" s="20" t="inlineStr">
        <is>
          <t>MIS (authors)</t>
        </is>
      </c>
      <c r="D29" s="21" t="n">
        <v>15</v>
      </c>
      <c r="E29" s="22" t="n">
        <v>15.591</v>
      </c>
      <c r="F29" s="22" t="n">
        <v>13.738</v>
      </c>
      <c r="G29" s="23">
        <f>(E29-F29)/F29</f>
        <v/>
      </c>
      <c r="H29" s="20" t="inlineStr">
        <is>
          <t>p1/results/pemsd8_trio_vs_table1.csv</t>
        </is>
      </c>
    </row>
    <row r="30" ht="15" customHeight="1" s="16">
      <c r="A30" s="20" t="inlineStr">
        <is>
          <t>Quantile</t>
        </is>
      </c>
      <c r="B30" s="21" t="n">
        <v>1</v>
      </c>
      <c r="C30" s="20" t="inlineStr">
        <is>
          <t>MIS (authors)</t>
        </is>
      </c>
      <c r="D30" s="21" t="n">
        <v>30</v>
      </c>
      <c r="E30" s="22" t="n">
        <v>22.666</v>
      </c>
      <c r="F30" s="22" t="n">
        <v>19.878</v>
      </c>
      <c r="G30" s="23">
        <f>(E30-F30)/F30</f>
        <v/>
      </c>
      <c r="H30" s="20" t="inlineStr">
        <is>
          <t>p1/results/pemsd8_trio_vs_table1.csv</t>
        </is>
      </c>
    </row>
    <row r="31" ht="15" customHeight="1" s="16">
      <c r="A31" s="20" t="inlineStr">
        <is>
          <t>Quantile</t>
        </is>
      </c>
      <c r="B31" s="21" t="n">
        <v>1</v>
      </c>
      <c r="C31" s="20" t="inlineStr">
        <is>
          <t>MIS (authors)</t>
        </is>
      </c>
      <c r="D31" s="21" t="n">
        <v>60</v>
      </c>
      <c r="E31" s="22" t="n">
        <v>34.182</v>
      </c>
      <c r="F31" s="22" t="n">
        <v>30.333</v>
      </c>
      <c r="G31" s="23">
        <f>(E31-F31)/F31</f>
        <v/>
      </c>
      <c r="H31" s="20" t="inlineStr">
        <is>
          <t>p1/results/pemsd8_trio_vs_table1.csv</t>
        </is>
      </c>
    </row>
    <row r="32"/>
    <row r="33" ht="15" customHeight="1" s="16">
      <c r="A33" s="18" t="inlineStr">
        <is>
          <t>Read as single-horizon errors (the error at exactly 15/30/60 min), all three models are 18-33% above Table 1 in MAE.</t>
        </is>
      </c>
    </row>
    <row r="34" ht="15" customHeight="1" s="16">
      <c r="A34" s="18" t="inlineStr">
        <is>
          <t>Paper values: Table 1, PEMSD8 columns. Seed-to-seed std of MAE in our runs: about 0.02-0.025.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5" min="1" max="1"/>
    <col width="13" customWidth="1" style="15" min="2" max="2"/>
    <col width="26" customWidth="1" style="15" min="3" max="3"/>
    <col width="13" customWidth="1" style="15" min="4" max="5"/>
    <col width="46" customWidth="1" style="15" min="6" max="6"/>
  </cols>
  <sheetData>
    <row r="1" ht="16.15" customHeight="1" s="16">
      <c r="A1" s="17" t="inlineStr">
        <is>
          <t>PEMSD4: authors' shipped checkpoints, evaluated by us</t>
        </is>
      </c>
    </row>
    <row r="2" ht="15" customHeight="1" s="16">
      <c r="A2" s="18" t="inlineStr">
        <is>
          <t>Mean |% diff| vs Table 1 over MAE, MIS and MSE, with the authors' batch padding added back (208 copies of the last test sample).</t>
        </is>
      </c>
    </row>
    <row r="3"/>
    <row r="4" ht="31.5" customHeight="1" s="16">
      <c r="A4" s="19" t="inlineStr">
        <is>
          <t>Model</t>
        </is>
      </c>
      <c r="B4" s="19" t="inlineStr">
        <is>
          <t>15 min, best match (%)</t>
        </is>
      </c>
      <c r="C4" s="19" t="inlineStr">
        <is>
          <t>Reading that matches at 15 min</t>
        </is>
      </c>
      <c r="D4" s="19" t="inlineStr">
        <is>
          <t>30 min, padded average (%)</t>
        </is>
      </c>
      <c r="E4" s="19" t="inlineStr">
        <is>
          <t>60 min, padded average (%)</t>
        </is>
      </c>
      <c r="F4" s="19" t="inlineStr">
        <is>
          <t>Note</t>
        </is>
      </c>
    </row>
    <row r="5" ht="15" customHeight="1" s="16">
      <c r="A5" s="20" t="inlineStr">
        <is>
          <t>Quantile</t>
        </is>
      </c>
      <c r="B5" s="24" t="n">
        <v>3.43</v>
      </c>
      <c r="C5" s="20" t="inlineStr">
        <is>
          <t>padded single step</t>
        </is>
      </c>
      <c r="D5" s="24" t="n">
        <v>0.04</v>
      </c>
      <c r="E5" s="24" t="n">
        <v>0.03</v>
      </c>
      <c r="F5" s="20" t="n"/>
    </row>
    <row r="6" ht="15" customHeight="1" s="16">
      <c r="A6" s="20" t="inlineStr">
        <is>
          <t>GPDE+Quantile</t>
        </is>
      </c>
      <c r="B6" s="24" t="n">
        <v>1.45</v>
      </c>
      <c r="C6" s="20" t="inlineStr">
        <is>
          <t>padded single step</t>
        </is>
      </c>
      <c r="D6" s="24" t="n">
        <v>0.11</v>
      </c>
      <c r="E6" s="24" t="n">
        <v>0.17</v>
      </c>
      <c r="F6" s="20" t="n"/>
    </row>
    <row r="7" ht="15" customHeight="1" s="16">
      <c r="A7" s="20" t="inlineStr">
        <is>
          <t>GPDE+Quantile+Phy</t>
        </is>
      </c>
      <c r="B7" s="24" t="n">
        <v>1.55</v>
      </c>
      <c r="C7" s="20" t="inlineStr">
        <is>
          <t>padded single step</t>
        </is>
      </c>
      <c r="D7" s="24" t="n">
        <v>0.08</v>
      </c>
      <c r="E7" s="24" t="n">
        <v>0.04</v>
      </c>
      <c r="F7" s="20" t="n"/>
    </row>
    <row r="8" ht="15" customHeight="1" s="16">
      <c r="A8" s="20" t="inlineStr">
        <is>
          <t>MAEMIS</t>
        </is>
      </c>
      <c r="B8" s="24" t="n">
        <v>3.6</v>
      </c>
      <c r="C8" s="20" t="inlineStr">
        <is>
          <t>padded single step</t>
        </is>
      </c>
      <c r="D8" s="24" t="n">
        <v>0.05</v>
      </c>
      <c r="E8" s="24" t="n">
        <v>5.13</v>
      </c>
      <c r="F8" s="20" t="inlineStr">
        <is>
          <t>60 min: Table 1 MAE typo (3.167; log and our run give about 2.68)</t>
        </is>
      </c>
    </row>
    <row r="9" ht="15" customHeight="1" s="16">
      <c r="A9" s="20" t="inlineStr">
        <is>
          <t>GPDE+MAEMIS</t>
        </is>
      </c>
      <c r="B9" s="24" t="n">
        <v>1.07</v>
      </c>
      <c r="C9" s="20" t="inlineStr">
        <is>
          <t>padded single step</t>
        </is>
      </c>
      <c r="D9" s="24" t="n">
        <v>0.2</v>
      </c>
      <c r="E9" s="24" t="n">
        <v>0.15</v>
      </c>
      <c r="F9" s="20" t="n"/>
    </row>
    <row r="10" ht="15" customHeight="1" s="16">
      <c r="A10" s="20" t="inlineStr">
        <is>
          <t>GPDE+MAEMIS+Phy</t>
        </is>
      </c>
      <c r="B10" s="24" t="n">
        <v>0.25</v>
      </c>
      <c r="C10" s="20" t="inlineStr">
        <is>
          <t>padded average, steps 1-3</t>
        </is>
      </c>
      <c r="D10" s="24" t="n">
        <v>0.05</v>
      </c>
      <c r="E10" s="24" t="n">
        <v>0.09</v>
      </c>
      <c r="F10" s="20" t="inlineStr">
        <is>
          <t>only model whose 15-min row matches the average</t>
        </is>
      </c>
    </row>
    <row r="11"/>
    <row r="12" ht="15" customHeight="1" s="16">
      <c r="A12" s="18" t="inlineStr">
        <is>
          <t>Source: p1/results/pemsd4_padded_vs_table1.csv (notebook 2, table D).</t>
        </is>
      </c>
    </row>
    <row r="13" ht="15" customHeight="1" s="16">
      <c r="A13" s="18" t="inlineStr">
        <is>
          <t>Without the padding, the 30/60-min gap is 2-7%: the padding makes the authors' reported metrics about 2-3% better.</t>
        </is>
      </c>
    </row>
    <row r="14" ht="15" customHeight="1" s="16">
      <c r="A14" s="18" t="inlineStr">
        <is>
          <t>Our evaluation also matches the authors' own training logs: e.g. GPDE+Quantile+Phy test MAE 2.0194 vs logged 2.0189 (p1/results/pemsd4_table1_vs_authors_logs.csv).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5" min="1" max="1"/>
    <col width="14" customWidth="1" style="15" min="2" max="2"/>
    <col width="11" customWidth="1" style="15" min="3" max="3"/>
    <col width="10" customWidth="1" style="15" min="4" max="4"/>
    <col width="11" customWidth="1" style="15" min="5" max="5"/>
    <col width="10" customWidth="1" style="15" min="6" max="6"/>
    <col width="11" customWidth="1" style="15" min="7" max="11"/>
    <col width="10" customWidth="1" style="15" min="12" max="12"/>
    <col width="12" customWidth="1" style="15" min="13" max="13"/>
    <col width="30" customWidth="1" style="15" min="14" max="14"/>
  </cols>
  <sheetData>
    <row r="1" ht="16.15" customHeight="1" s="16">
      <c r="A1" s="17" t="inlineStr">
        <is>
          <t>Seed check: does the physics loss beat run-to-run noise? (PEMSD8)</t>
        </is>
      </c>
    </row>
    <row r="2" ht="15" customHeight="1" s="16">
      <c r="A2" s="18" t="inlineStr">
        <is>
          <t>GPDE+Quantile (ours) vs GPDE+Quantile+Phy (implementation runs), 3 seeds each, paired by seed. Single-horizon test metrics. Diff = Phy minus GPDE.</t>
        </is>
      </c>
    </row>
    <row r="3"/>
    <row r="4" ht="31.5" customHeight="1" s="16">
      <c r="A4" s="19" t="inlineStr">
        <is>
          <t>Minutes</t>
        </is>
      </c>
      <c r="B4" s="19" t="inlineStr">
        <is>
          <t>Metric</t>
        </is>
      </c>
      <c r="C4" s="19" t="inlineStr">
        <is>
          <t>GPDE mean</t>
        </is>
      </c>
      <c r="D4" s="19" t="inlineStr">
        <is>
          <t>GPDE std</t>
        </is>
      </c>
      <c r="E4" s="19" t="inlineStr">
        <is>
          <t>Phy mean</t>
        </is>
      </c>
      <c r="F4" s="19" t="inlineStr">
        <is>
          <t>Phy std</t>
        </is>
      </c>
      <c r="G4" s="19" t="inlineStr">
        <is>
          <t>Diff seed 0</t>
        </is>
      </c>
      <c r="H4" s="19" t="inlineStr">
        <is>
          <t>Diff seed 1</t>
        </is>
      </c>
      <c r="I4" s="19" t="inlineStr">
        <is>
          <t>Diff seed 2</t>
        </is>
      </c>
      <c r="J4" s="19" t="inlineStr">
        <is>
          <t>Mean diff</t>
        </is>
      </c>
      <c r="K4" s="19" t="inlineStr">
        <is>
          <t>Diff (% of GPDE)</t>
        </is>
      </c>
      <c r="L4" s="19" t="inlineStr">
        <is>
          <t>Gap / noise</t>
        </is>
      </c>
      <c r="M4" s="19" t="inlineStr">
        <is>
          <t>Same sign in all seeds</t>
        </is>
      </c>
      <c r="N4" s="19" t="inlineStr">
        <is>
          <t>Better with physics?</t>
        </is>
      </c>
    </row>
    <row r="5" ht="15" customHeight="1" s="16">
      <c r="A5" s="21" t="n">
        <v>15</v>
      </c>
      <c r="B5" s="20" t="inlineStr">
        <is>
          <t>MAE</t>
        </is>
      </c>
      <c r="C5" s="22" t="n">
        <v>1.2341</v>
      </c>
      <c r="D5" s="22" t="n">
        <v>0.0251</v>
      </c>
      <c r="E5" s="22" t="n">
        <v>1.2493</v>
      </c>
      <c r="F5" s="22" t="n">
        <v>0.0175</v>
      </c>
      <c r="G5" s="22" t="n">
        <v>0.026</v>
      </c>
      <c r="H5" s="22" t="n">
        <v>0.031</v>
      </c>
      <c r="I5" s="22" t="n">
        <v>-0.012</v>
      </c>
      <c r="J5" s="25">
        <f>AVERAGE(G5:I5)</f>
        <v/>
      </c>
      <c r="K5" s="23">
        <f>J5/C5</f>
        <v/>
      </c>
      <c r="L5" s="26">
        <f>ABS(J5)/MAX(D5,F5)</f>
        <v/>
      </c>
      <c r="M5" s="20">
        <f>IF(OR(AND(G5&gt;0,H5&gt;0,I5&gt;0),AND(G5&lt;0,H5&lt;0,I5&lt;0)),"yes","no")</f>
        <v/>
      </c>
      <c r="N5" s="20">
        <f>IF(L5&lt;1,"no: within noise",IF(J5&lt;0,"yes","no: worse"))</f>
        <v/>
      </c>
    </row>
    <row r="6" ht="15" customHeight="1" s="16">
      <c r="A6" s="21" t="n">
        <v>15</v>
      </c>
      <c r="B6" s="20" t="inlineStr">
        <is>
          <t>RMSE</t>
        </is>
      </c>
      <c r="C6" s="22" t="n">
        <v>2.6265</v>
      </c>
      <c r="D6" s="22" t="n">
        <v>0.0339</v>
      </c>
      <c r="E6" s="22" t="n">
        <v>2.6652</v>
      </c>
      <c r="F6" s="22" t="n">
        <v>0.0235</v>
      </c>
      <c r="G6" s="22" t="n">
        <v>0.058</v>
      </c>
      <c r="H6" s="22" t="n">
        <v>0.05</v>
      </c>
      <c r="I6" s="22" t="n">
        <v>0.007</v>
      </c>
      <c r="J6" s="25">
        <f>AVERAGE(G6:I6)</f>
        <v/>
      </c>
      <c r="K6" s="23">
        <f>J6/C6</f>
        <v/>
      </c>
      <c r="L6" s="26">
        <f>ABS(J6)/MAX(D6,F6)</f>
        <v/>
      </c>
      <c r="M6" s="20">
        <f>IF(OR(AND(G6&gt;0,H6&gt;0,I6&gt;0),AND(G6&lt;0,H6&lt;0,I6&lt;0)),"yes","no")</f>
        <v/>
      </c>
      <c r="N6" s="20">
        <f>IF(L6&lt;1,"no: within noise",IF(J6&lt;0,"yes","no: worse"))</f>
        <v/>
      </c>
    </row>
    <row r="7" ht="15" customHeight="1" s="16">
      <c r="A7" s="21" t="n">
        <v>15</v>
      </c>
      <c r="B7" s="20" t="inlineStr">
        <is>
          <t>MIS (authors)</t>
        </is>
      </c>
      <c r="C7" s="22" t="n">
        <v>17.1618</v>
      </c>
      <c r="D7" s="22" t="n">
        <v>0.3132</v>
      </c>
      <c r="E7" s="22" t="n">
        <v>17.5284</v>
      </c>
      <c r="F7" s="22" t="n">
        <v>0.5911999999999999</v>
      </c>
      <c r="G7" s="22" t="n">
        <v>0.148</v>
      </c>
      <c r="H7" s="22" t="n">
        <v>1.234</v>
      </c>
      <c r="I7" s="22" t="n">
        <v>-0.283</v>
      </c>
      <c r="J7" s="25">
        <f>AVERAGE(G7:I7)</f>
        <v/>
      </c>
      <c r="K7" s="23">
        <f>J7/C7</f>
        <v/>
      </c>
      <c r="L7" s="26">
        <f>ABS(J7)/MAX(D7,F7)</f>
        <v/>
      </c>
      <c r="M7" s="20">
        <f>IF(OR(AND(G7&gt;0,H7&gt;0,I7&gt;0),AND(G7&lt;0,H7&lt;0,I7&lt;0)),"yes","no")</f>
        <v/>
      </c>
      <c r="N7" s="20">
        <f>IF(L7&lt;1,"no: within noise",IF(J7&lt;0,"yes","no: worse"))</f>
        <v/>
      </c>
    </row>
    <row r="8" ht="15" customHeight="1" s="16">
      <c r="A8" s="21" t="n">
        <v>15</v>
      </c>
      <c r="B8" s="20" t="inlineStr">
        <is>
          <t>MIS (standard)</t>
        </is>
      </c>
      <c r="C8" s="22" t="n">
        <v>15.9277</v>
      </c>
      <c r="D8" s="22" t="n">
        <v>0.2935</v>
      </c>
      <c r="E8" s="22" t="n">
        <v>16.2791</v>
      </c>
      <c r="F8" s="22" t="n">
        <v>0.5744</v>
      </c>
      <c r="G8" s="22" t="n">
        <v>0.122</v>
      </c>
      <c r="H8" s="22" t="n">
        <v>1.203</v>
      </c>
      <c r="I8" s="22" t="n">
        <v>-0.271</v>
      </c>
      <c r="J8" s="25">
        <f>AVERAGE(G8:I8)</f>
        <v/>
      </c>
      <c r="K8" s="23">
        <f>J8/C8</f>
        <v/>
      </c>
      <c r="L8" s="26">
        <f>ABS(J8)/MAX(D8,F8)</f>
        <v/>
      </c>
      <c r="M8" s="20">
        <f>IF(OR(AND(G8&gt;0,H8&gt;0,I8&gt;0),AND(G8&lt;0,H8&lt;0,I8&lt;0)),"yes","no")</f>
        <v/>
      </c>
      <c r="N8" s="20">
        <f>IF(L8&lt;1,"no: within noise",IF(J8&lt;0,"yes","no: worse"))</f>
        <v/>
      </c>
    </row>
    <row r="9" ht="15" customHeight="1" s="16">
      <c r="A9" s="21" t="n">
        <v>15</v>
      </c>
      <c r="B9" s="20" t="inlineStr">
        <is>
          <t>Coverage</t>
        </is>
      </c>
      <c r="C9" s="27" t="n">
        <v>0.8057</v>
      </c>
      <c r="D9" s="27" t="n">
        <v>0.0177</v>
      </c>
      <c r="E9" s="27" t="n">
        <v>0.8097</v>
      </c>
      <c r="F9" s="27" t="n">
        <v>0.0064</v>
      </c>
      <c r="G9" s="27" t="n">
        <v>0.02</v>
      </c>
      <c r="H9" s="27" t="n">
        <v>-0.022</v>
      </c>
      <c r="I9" s="27" t="n">
        <v>0.014</v>
      </c>
      <c r="J9" s="23">
        <f>AVERAGE(G9:I9)</f>
        <v/>
      </c>
      <c r="K9" s="23">
        <f>J9/C9</f>
        <v/>
      </c>
      <c r="L9" s="26">
        <f>ABS(J9)/MAX(D9,F9)</f>
        <v/>
      </c>
      <c r="M9" s="20">
        <f>IF(OR(AND(G9&gt;0,H9&gt;0,I9&gt;0),AND(G9&lt;0,H9&lt;0,I9&lt;0)),"yes","no")</f>
        <v/>
      </c>
      <c r="N9" s="20">
        <f>IF(L9&lt;1,"no: within noise",IF(J9&gt;0,"yes","no: worse"))</f>
        <v/>
      </c>
    </row>
    <row r="10" ht="15" customHeight="1" s="16">
      <c r="A10" s="21" t="n">
        <v>30</v>
      </c>
      <c r="B10" s="20" t="inlineStr">
        <is>
          <t>MAE</t>
        </is>
      </c>
      <c r="C10" s="22" t="n">
        <v>1.5636</v>
      </c>
      <c r="D10" s="22" t="n">
        <v>0.0253</v>
      </c>
      <c r="E10" s="22" t="n">
        <v>1.5741</v>
      </c>
      <c r="F10" s="22" t="n">
        <v>0.0163</v>
      </c>
      <c r="G10" s="22" t="n">
        <v>0.019</v>
      </c>
      <c r="H10" s="22" t="n">
        <v>0.033</v>
      </c>
      <c r="I10" s="22" t="n">
        <v>-0.021</v>
      </c>
      <c r="J10" s="25">
        <f>AVERAGE(G10:I10)</f>
        <v/>
      </c>
      <c r="K10" s="23">
        <f>J10/C10</f>
        <v/>
      </c>
      <c r="L10" s="26">
        <f>ABS(J10)/MAX(D10,F10)</f>
        <v/>
      </c>
      <c r="M10" s="20">
        <f>IF(OR(AND(G10&gt;0,H10&gt;0,I10&gt;0),AND(G10&lt;0,H10&lt;0,I10&lt;0)),"yes","no")</f>
        <v/>
      </c>
      <c r="N10" s="20">
        <f>IF(L10&lt;1,"no: within noise",IF(J10&lt;0,"yes","no: worse"))</f>
        <v/>
      </c>
    </row>
    <row r="11" ht="15" customHeight="1" s="16">
      <c r="A11" s="21" t="n">
        <v>30</v>
      </c>
      <c r="B11" s="20" t="inlineStr">
        <is>
          <t>RMSE</t>
        </is>
      </c>
      <c r="C11" s="22" t="n">
        <v>3.5318</v>
      </c>
      <c r="D11" s="22" t="n">
        <v>0.0173</v>
      </c>
      <c r="E11" s="22" t="n">
        <v>3.5437</v>
      </c>
      <c r="F11" s="22" t="n">
        <v>0.0125</v>
      </c>
      <c r="G11" s="22" t="n">
        <v>0.005</v>
      </c>
      <c r="H11" s="22" t="n">
        <v>0.034</v>
      </c>
      <c r="I11" s="22" t="n">
        <v>-0.004</v>
      </c>
      <c r="J11" s="25">
        <f>AVERAGE(G11:I11)</f>
        <v/>
      </c>
      <c r="K11" s="23">
        <f>J11/C11</f>
        <v/>
      </c>
      <c r="L11" s="26">
        <f>ABS(J11)/MAX(D11,F11)</f>
        <v/>
      </c>
      <c r="M11" s="20">
        <f>IF(OR(AND(G11&gt;0,H11&gt;0,I11&gt;0),AND(G11&lt;0,H11&lt;0,I11&lt;0)),"yes","no")</f>
        <v/>
      </c>
      <c r="N11" s="20">
        <f>IF(L11&lt;1,"no: within noise",IF(J11&lt;0,"yes","no: worse"))</f>
        <v/>
      </c>
    </row>
    <row r="12" ht="15" customHeight="1" s="16">
      <c r="A12" s="21" t="n">
        <v>30</v>
      </c>
      <c r="B12" s="20" t="inlineStr">
        <is>
          <t>MIS (authors)</t>
        </is>
      </c>
      <c r="C12" s="22" t="n">
        <v>28.6136</v>
      </c>
      <c r="D12" s="22" t="n">
        <v>0.6203</v>
      </c>
      <c r="E12" s="22" t="n">
        <v>29.1589</v>
      </c>
      <c r="F12" s="22" t="n">
        <v>0.2188</v>
      </c>
      <c r="G12" s="22" t="n">
        <v>0.38</v>
      </c>
      <c r="H12" s="22" t="n">
        <v>1.188</v>
      </c>
      <c r="I12" s="22" t="n">
        <v>0.068</v>
      </c>
      <c r="J12" s="25">
        <f>AVERAGE(G12:I12)</f>
        <v/>
      </c>
      <c r="K12" s="23">
        <f>J12/C12</f>
        <v/>
      </c>
      <c r="L12" s="26">
        <f>ABS(J12)/MAX(D12,F12)</f>
        <v/>
      </c>
      <c r="M12" s="20">
        <f>IF(OR(AND(G12&gt;0,H12&gt;0,I12&gt;0),AND(G12&lt;0,H12&lt;0,I12&lt;0)),"yes","no")</f>
        <v/>
      </c>
      <c r="N12" s="20">
        <f>IF(L12&lt;1,"no: within noise",IF(J12&lt;0,"yes","no: worse"))</f>
        <v/>
      </c>
    </row>
    <row r="13" ht="15" customHeight="1" s="16">
      <c r="A13" s="21" t="n">
        <v>30</v>
      </c>
      <c r="B13" s="20" t="inlineStr">
        <is>
          <t>MIS (standard)</t>
        </is>
      </c>
      <c r="C13" s="22" t="n">
        <v>27.05</v>
      </c>
      <c r="D13" s="22" t="n">
        <v>0.619</v>
      </c>
      <c r="E13" s="22" t="n">
        <v>27.5848</v>
      </c>
      <c r="F13" s="22" t="n">
        <v>0.2281</v>
      </c>
      <c r="G13" s="22" t="n">
        <v>0.361</v>
      </c>
      <c r="H13" s="22" t="n">
        <v>1.154</v>
      </c>
      <c r="I13" s="22" t="n">
        <v>0.089</v>
      </c>
      <c r="J13" s="25">
        <f>AVERAGE(G13:I13)</f>
        <v/>
      </c>
      <c r="K13" s="23">
        <f>J13/C13</f>
        <v/>
      </c>
      <c r="L13" s="26">
        <f>ABS(J13)/MAX(D13,F13)</f>
        <v/>
      </c>
      <c r="M13" s="20">
        <f>IF(OR(AND(G13&gt;0,H13&gt;0,I13&gt;0),AND(G13&lt;0,H13&lt;0,I13&lt;0)),"yes","no")</f>
        <v/>
      </c>
      <c r="N13" s="20">
        <f>IF(L13&lt;1,"no: within noise",IF(J13&lt;0,"yes","no: worse"))</f>
        <v/>
      </c>
    </row>
    <row r="14" ht="15" customHeight="1" s="16">
      <c r="A14" s="21" t="n">
        <v>30</v>
      </c>
      <c r="B14" s="20" t="inlineStr">
        <is>
          <t>Coverage</t>
        </is>
      </c>
      <c r="C14" s="27" t="n">
        <v>0.7087</v>
      </c>
      <c r="D14" s="27" t="n">
        <v>0.0233</v>
      </c>
      <c r="E14" s="27" t="n">
        <v>0.7014</v>
      </c>
      <c r="F14" s="27" t="n">
        <v>0.0185</v>
      </c>
      <c r="G14" s="27" t="n">
        <v>-0.004</v>
      </c>
      <c r="H14" s="27" t="n">
        <v>-0.015</v>
      </c>
      <c r="I14" s="27" t="n">
        <v>-0.002</v>
      </c>
      <c r="J14" s="23">
        <f>AVERAGE(G14:I14)</f>
        <v/>
      </c>
      <c r="K14" s="23">
        <f>J14/C14</f>
        <v/>
      </c>
      <c r="L14" s="26">
        <f>ABS(J14)/MAX(D14,F14)</f>
        <v/>
      </c>
      <c r="M14" s="20">
        <f>IF(OR(AND(G14&gt;0,H14&gt;0,I14&gt;0),AND(G14&lt;0,H14&lt;0,I14&lt;0)),"yes","no")</f>
        <v/>
      </c>
      <c r="N14" s="20">
        <f>IF(L14&lt;1,"no: within noise",IF(J14&gt;0,"yes","no: worse"))</f>
        <v/>
      </c>
    </row>
    <row r="15" ht="15" customHeight="1" s="16">
      <c r="A15" s="21" t="n">
        <v>60</v>
      </c>
      <c r="B15" s="20" t="inlineStr">
        <is>
          <t>MAE</t>
        </is>
      </c>
      <c r="C15" s="22" t="n">
        <v>2.0007</v>
      </c>
      <c r="D15" s="22" t="n">
        <v>0.0231</v>
      </c>
      <c r="E15" s="22" t="n">
        <v>2.017</v>
      </c>
      <c r="F15" s="22" t="n">
        <v>0.023</v>
      </c>
      <c r="G15" s="22" t="n">
        <v>0.024</v>
      </c>
      <c r="H15" s="22" t="n">
        <v>0.058</v>
      </c>
      <c r="I15" s="22" t="n">
        <v>-0.033</v>
      </c>
      <c r="J15" s="25">
        <f>AVERAGE(G15:I15)</f>
        <v/>
      </c>
      <c r="K15" s="23">
        <f>J15/C15</f>
        <v/>
      </c>
      <c r="L15" s="26">
        <f>ABS(J15)/MAX(D15,F15)</f>
        <v/>
      </c>
      <c r="M15" s="20">
        <f>IF(OR(AND(G15&gt;0,H15&gt;0,I15&gt;0),AND(G15&lt;0,H15&lt;0,I15&lt;0)),"yes","no")</f>
        <v/>
      </c>
      <c r="N15" s="20">
        <f>IF(L15&lt;1,"no: within noise",IF(J15&lt;0,"yes","no: worse"))</f>
        <v/>
      </c>
    </row>
    <row r="16" ht="15" customHeight="1" s="16">
      <c r="A16" s="21" t="n">
        <v>60</v>
      </c>
      <c r="B16" s="20" t="inlineStr">
        <is>
          <t>RMSE</t>
        </is>
      </c>
      <c r="C16" s="22" t="n">
        <v>4.6012</v>
      </c>
      <c r="D16" s="22" t="n">
        <v>0.0563</v>
      </c>
      <c r="E16" s="22" t="n">
        <v>4.5761</v>
      </c>
      <c r="F16" s="22" t="n">
        <v>0.0098</v>
      </c>
      <c r="G16" s="22" t="n">
        <v>-0.089</v>
      </c>
      <c r="H16" s="22" t="n">
        <v>0.032</v>
      </c>
      <c r="I16" s="22" t="n">
        <v>-0.019</v>
      </c>
      <c r="J16" s="25">
        <f>AVERAGE(G16:I16)</f>
        <v/>
      </c>
      <c r="K16" s="23">
        <f>J16/C16</f>
        <v/>
      </c>
      <c r="L16" s="26">
        <f>ABS(J16)/MAX(D16,F16)</f>
        <v/>
      </c>
      <c r="M16" s="20">
        <f>IF(OR(AND(G16&gt;0,H16&gt;0,I16&gt;0),AND(G16&lt;0,H16&lt;0,I16&lt;0)),"yes","no")</f>
        <v/>
      </c>
      <c r="N16" s="20">
        <f>IF(L16&lt;1,"no: within noise",IF(J16&lt;0,"yes","no: worse"))</f>
        <v/>
      </c>
    </row>
    <row r="17" ht="15" customHeight="1" s="16">
      <c r="A17" s="21" t="n">
        <v>60</v>
      </c>
      <c r="B17" s="20" t="inlineStr">
        <is>
          <t>MIS (authors)</t>
        </is>
      </c>
      <c r="C17" s="22" t="n">
        <v>45.2314</v>
      </c>
      <c r="D17" s="22" t="n">
        <v>2.4242</v>
      </c>
      <c r="E17" s="22" t="n">
        <v>46.7992</v>
      </c>
      <c r="F17" s="22" t="n">
        <v>2.3414</v>
      </c>
      <c r="G17" s="22" t="n">
        <v>1.545</v>
      </c>
      <c r="H17" s="22" t="n">
        <v>2.108</v>
      </c>
      <c r="I17" s="22" t="n">
        <v>1.051</v>
      </c>
      <c r="J17" s="25">
        <f>AVERAGE(G17:I17)</f>
        <v/>
      </c>
      <c r="K17" s="23">
        <f>J17/C17</f>
        <v/>
      </c>
      <c r="L17" s="26">
        <f>ABS(J17)/MAX(D17,F17)</f>
        <v/>
      </c>
      <c r="M17" s="20">
        <f>IF(OR(AND(G17&gt;0,H17&gt;0,I17&gt;0),AND(G17&lt;0,H17&lt;0,I17&lt;0)),"yes","no")</f>
        <v/>
      </c>
      <c r="N17" s="20">
        <f>IF(L17&lt;1,"no: within noise",IF(J17&lt;0,"yes","no: worse"))</f>
        <v/>
      </c>
    </row>
    <row r="18" ht="15" customHeight="1" s="16">
      <c r="A18" s="21" t="n">
        <v>60</v>
      </c>
      <c r="B18" s="20" t="inlineStr">
        <is>
          <t>MIS (standard)</t>
        </is>
      </c>
      <c r="C18" s="22" t="n">
        <v>43.2307</v>
      </c>
      <c r="D18" s="22" t="n">
        <v>2.4205</v>
      </c>
      <c r="E18" s="22" t="n">
        <v>44.7823</v>
      </c>
      <c r="F18" s="22" t="n">
        <v>2.3364</v>
      </c>
      <c r="G18" s="22" t="n">
        <v>1.521</v>
      </c>
      <c r="H18" s="22" t="n">
        <v>2.05</v>
      </c>
      <c r="I18" s="22" t="n">
        <v>1.084</v>
      </c>
      <c r="J18" s="25">
        <f>AVERAGE(G18:I18)</f>
        <v/>
      </c>
      <c r="K18" s="23">
        <f>J18/C18</f>
        <v/>
      </c>
      <c r="L18" s="26">
        <f>ABS(J18)/MAX(D18,F18)</f>
        <v/>
      </c>
      <c r="M18" s="20">
        <f>IF(OR(AND(G18&gt;0,H18&gt;0,I18&gt;0),AND(G18&lt;0,H18&lt;0,I18&lt;0)),"yes","no")</f>
        <v/>
      </c>
      <c r="N18" s="20">
        <f>IF(L18&lt;1,"no: within noise",IF(J18&lt;0,"yes","no: worse"))</f>
        <v/>
      </c>
    </row>
    <row r="19" ht="15" customHeight="1" s="16">
      <c r="A19" s="21" t="n">
        <v>60</v>
      </c>
      <c r="B19" s="20" t="inlineStr">
        <is>
          <t>Coverage</t>
        </is>
      </c>
      <c r="C19" s="27" t="n">
        <v>0.607</v>
      </c>
      <c r="D19" s="27" t="n">
        <v>0.0434</v>
      </c>
      <c r="E19" s="27" t="n">
        <v>0.5763</v>
      </c>
      <c r="F19" s="27" t="n">
        <v>0.049</v>
      </c>
      <c r="G19" s="27" t="n">
        <v>-0.037</v>
      </c>
      <c r="H19" s="27" t="n">
        <v>-0.026</v>
      </c>
      <c r="I19" s="27" t="n">
        <v>-0.029</v>
      </c>
      <c r="J19" s="23">
        <f>AVERAGE(G19:I19)</f>
        <v/>
      </c>
      <c r="K19" s="23">
        <f>J19/C19</f>
        <v/>
      </c>
      <c r="L19" s="26">
        <f>ABS(J19)/MAX(D19,F19)</f>
        <v/>
      </c>
      <c r="M19" s="20">
        <f>IF(OR(AND(G19&gt;0,H19&gt;0,I19&gt;0),AND(G19&lt;0,H19&lt;0,I19&lt;0)),"yes","no")</f>
        <v/>
      </c>
      <c r="N19" s="20">
        <f>IF(L19&lt;1,"no: within noise",IF(J19&gt;0,"yes","no: worse"))</f>
        <v/>
      </c>
    </row>
    <row r="20"/>
    <row r="21"/>
    <row r="22" ht="15" customHeight="1" s="16">
      <c r="B22" s="28" t="inlineStr">
        <is>
          <t>Paper's claimed gain (15 min MAE)</t>
        </is>
      </c>
    </row>
    <row r="23" ht="15" customHeight="1" s="16">
      <c r="A23" s="20" t="n"/>
      <c r="B23" s="20" t="inlineStr">
        <is>
          <t>Paper GPDE+Quantile</t>
        </is>
      </c>
      <c r="C23" s="22" t="n">
        <v>1.041</v>
      </c>
    </row>
    <row r="24" ht="15" customHeight="1" s="16">
      <c r="A24" s="20" t="n"/>
      <c r="B24" s="20" t="inlineStr">
        <is>
          <t>Paper GPDE+Quantile+Phy</t>
        </is>
      </c>
      <c r="C24" s="22" t="n">
        <v>1.024</v>
      </c>
    </row>
    <row r="25" ht="15" customHeight="1" s="16">
      <c r="A25" s="20" t="n"/>
      <c r="B25" s="20" t="inlineStr">
        <is>
          <t>Claimed gain</t>
        </is>
      </c>
      <c r="C25" s="25">
        <f>C23-C24</f>
        <v/>
      </c>
    </row>
    <row r="26" ht="15" customHeight="1" s="16">
      <c r="A26" s="20" t="n"/>
      <c r="B26" s="20" t="inlineStr">
        <is>
          <t>Our seed std (GPDE, 15 min)</t>
        </is>
      </c>
      <c r="C26" s="25">
        <f>D5</f>
        <v/>
      </c>
    </row>
    <row r="27" ht="15" customHeight="1" s="16">
      <c r="A27" s="20" t="n"/>
      <c r="B27" s="20" t="inlineStr">
        <is>
          <t>Claimed gain / our seed std</t>
        </is>
      </c>
      <c r="C27" s="26">
        <f>C25/C26</f>
        <v/>
      </c>
    </row>
    <row r="28"/>
    <row r="29" ht="15" customHeight="1" s="16">
      <c r="A29" s="18" t="inlineStr">
        <is>
          <t>Gap / noise = |mean paired difference| / larger seed std. Below 1, the physics effect is within run-to-run noise.</t>
        </is>
      </c>
    </row>
    <row r="30" ht="15" customHeight="1" s="16">
      <c r="A30" s="18" t="inlineStr">
        <is>
          <t>Paired differences are rounded to 3 decimals, so "Mean diff" can differ from the notebook in the 4th decimal.</t>
        </is>
      </c>
    </row>
    <row r="31" ht="15" customHeight="1" s="16">
      <c r="A31" s="18" t="inlineStr">
        <is>
          <t>Source: p1/results/pemsd8_seed_check.csv (notebook 2, table B). Paper values: Table 1, PEMSD8, averaged reading.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" min="1" max="2"/>
    <col width="9" customWidth="1" style="15" min="3" max="3"/>
    <col width="11" customWidth="1" style="15" min="4" max="4"/>
    <col width="14" customWidth="1" style="15" min="5" max="5"/>
    <col width="18" customWidth="1" style="15" min="6" max="6"/>
    <col width="11" customWidth="1" style="15" min="7" max="8"/>
    <col width="12" customWidth="1" style="15" min="9" max="9"/>
  </cols>
  <sheetData>
    <row r="1" ht="16.15" customHeight="1" s="16">
      <c r="A1" s="17" t="inlineStr">
        <is>
          <t>Where the headline gain comes from (PEMSD8, MAE)</t>
        </is>
      </c>
    </row>
    <row r="2" ht="15" customHeight="1" s="16">
      <c r="A2" s="18" t="inlineStr">
        <is>
          <t>Quantile -&gt; GPDE+Quantile -&gt; GPDE+Quantile+Phy. Points = share of the Quantile MAE.</t>
        </is>
      </c>
    </row>
    <row r="3"/>
    <row r="4" ht="31.5" customHeight="1" s="16">
      <c r="A4" s="19" t="inlineStr">
        <is>
          <t>Source</t>
        </is>
      </c>
      <c r="B4" s="19" t="inlineStr">
        <is>
          <t>Reading</t>
        </is>
      </c>
      <c r="C4" s="19" t="inlineStr">
        <is>
          <t>Minutes</t>
        </is>
      </c>
      <c r="D4" s="19" t="inlineStr">
        <is>
          <t>Quantile</t>
        </is>
      </c>
      <c r="E4" s="19" t="inlineStr">
        <is>
          <t>GPDE+Quantile</t>
        </is>
      </c>
      <c r="F4" s="19" t="inlineStr">
        <is>
          <t>GPDE+Quantile+Phy</t>
        </is>
      </c>
      <c r="G4" s="19" t="inlineStr">
        <is>
          <t>Total gain</t>
        </is>
      </c>
      <c r="H4" s="19" t="inlineStr">
        <is>
          <t>From GPDE</t>
        </is>
      </c>
      <c r="I4" s="19" t="inlineStr">
        <is>
          <t>From physics</t>
        </is>
      </c>
    </row>
    <row r="5" ht="15" customHeight="1" s="16">
      <c r="A5" s="20" t="inlineStr">
        <is>
          <t>Ours</t>
        </is>
      </c>
      <c r="B5" s="20" t="inlineStr">
        <is>
          <t>avg</t>
        </is>
      </c>
      <c r="C5" s="21" t="n">
        <v>15</v>
      </c>
      <c r="D5" s="22" t="n">
        <v>1.276</v>
      </c>
      <c r="E5" s="22" t="n">
        <v>1.044</v>
      </c>
      <c r="F5" s="22" t="n">
        <v>1.06</v>
      </c>
      <c r="G5" s="23">
        <f>(D5-F5)/D5</f>
        <v/>
      </c>
      <c r="H5" s="23">
        <f>(D5-E5)/D5</f>
        <v/>
      </c>
      <c r="I5" s="23">
        <f>(E5-F5)/D5</f>
        <v/>
      </c>
    </row>
    <row r="6" ht="15" customHeight="1" s="16">
      <c r="A6" s="20" t="inlineStr">
        <is>
          <t>Ours</t>
        </is>
      </c>
      <c r="B6" s="20" t="inlineStr">
        <is>
          <t>avg</t>
        </is>
      </c>
      <c r="C6" s="21" t="n">
        <v>30</v>
      </c>
      <c r="D6" s="22" t="n">
        <v>1.448</v>
      </c>
      <c r="E6" s="22" t="n">
        <v>1.255</v>
      </c>
      <c r="F6" s="22" t="n">
        <v>1.268</v>
      </c>
      <c r="G6" s="23">
        <f>(D6-F6)/D6</f>
        <v/>
      </c>
      <c r="H6" s="23">
        <f>(D6-E6)/D6</f>
        <v/>
      </c>
      <c r="I6" s="23">
        <f>(E6-F6)/D6</f>
        <v/>
      </c>
    </row>
    <row r="7" ht="15" customHeight="1" s="16">
      <c r="A7" s="20" t="inlineStr">
        <is>
          <t>Ours</t>
        </is>
      </c>
      <c r="B7" s="20" t="inlineStr">
        <is>
          <t>avg</t>
        </is>
      </c>
      <c r="C7" s="21" t="n">
        <v>60</v>
      </c>
      <c r="D7" s="22" t="n">
        <v>1.717</v>
      </c>
      <c r="E7" s="22" t="n">
        <v>1.542</v>
      </c>
      <c r="F7" s="22" t="n">
        <v>1.555</v>
      </c>
      <c r="G7" s="23">
        <f>(D7-F7)/D7</f>
        <v/>
      </c>
      <c r="H7" s="23">
        <f>(D7-E7)/D7</f>
        <v/>
      </c>
      <c r="I7" s="23">
        <f>(E7-F7)/D7</f>
        <v/>
      </c>
    </row>
    <row r="8" ht="15" customHeight="1" s="16">
      <c r="A8" s="20" t="inlineStr">
        <is>
          <t>Ours</t>
        </is>
      </c>
      <c r="B8" s="20" t="inlineStr">
        <is>
          <t>step</t>
        </is>
      </c>
      <c r="C8" s="21" t="n">
        <v>15</v>
      </c>
      <c r="D8" s="22" t="n">
        <v>1.42</v>
      </c>
      <c r="E8" s="22" t="n">
        <v>1.234</v>
      </c>
      <c r="F8" s="22" t="n">
        <v>1.249</v>
      </c>
      <c r="G8" s="23">
        <f>(D8-F8)/D8</f>
        <v/>
      </c>
      <c r="H8" s="23">
        <f>(D8-E8)/D8</f>
        <v/>
      </c>
      <c r="I8" s="23">
        <f>(E8-F8)/D8</f>
        <v/>
      </c>
    </row>
    <row r="9" ht="15" customHeight="1" s="16">
      <c r="A9" s="20" t="inlineStr">
        <is>
          <t>Ours</t>
        </is>
      </c>
      <c r="B9" s="20" t="inlineStr">
        <is>
          <t>step</t>
        </is>
      </c>
      <c r="C9" s="21" t="n">
        <v>30</v>
      </c>
      <c r="D9" s="22" t="n">
        <v>1.712</v>
      </c>
      <c r="E9" s="22" t="n">
        <v>1.564</v>
      </c>
      <c r="F9" s="22" t="n">
        <v>1.574</v>
      </c>
      <c r="G9" s="23">
        <f>(D9-F9)/D9</f>
        <v/>
      </c>
      <c r="H9" s="23">
        <f>(D9-E9)/D9</f>
        <v/>
      </c>
      <c r="I9" s="23">
        <f>(E9-F9)/D9</f>
        <v/>
      </c>
    </row>
    <row r="10" ht="15" customHeight="1" s="16">
      <c r="A10" s="20" t="inlineStr">
        <is>
          <t>Ours</t>
        </is>
      </c>
      <c r="B10" s="20" t="inlineStr">
        <is>
          <t>step</t>
        </is>
      </c>
      <c r="C10" s="21" t="n">
        <v>60</v>
      </c>
      <c r="D10" s="22" t="n">
        <v>2.173</v>
      </c>
      <c r="E10" s="22" t="n">
        <v>2.001</v>
      </c>
      <c r="F10" s="22" t="n">
        <v>2.017</v>
      </c>
      <c r="G10" s="23">
        <f>(D10-F10)/D10</f>
        <v/>
      </c>
      <c r="H10" s="23">
        <f>(D10-E10)/D10</f>
        <v/>
      </c>
      <c r="I10" s="23">
        <f>(E10-F10)/D10</f>
        <v/>
      </c>
    </row>
    <row r="11" ht="15" customHeight="1" s="16">
      <c r="A11" s="20" t="inlineStr">
        <is>
          <t>Paper</t>
        </is>
      </c>
      <c r="B11" s="20" t="inlineStr">
        <is>
          <t>avg</t>
        </is>
      </c>
      <c r="C11" s="21" t="n">
        <v>15</v>
      </c>
      <c r="D11" s="22" t="n">
        <v>1.202</v>
      </c>
      <c r="E11" s="22" t="n">
        <v>1.041</v>
      </c>
      <c r="F11" s="22" t="n">
        <v>1.024</v>
      </c>
      <c r="G11" s="23">
        <f>(D11-F11)/D11</f>
        <v/>
      </c>
      <c r="H11" s="23">
        <f>(D11-E11)/D11</f>
        <v/>
      </c>
      <c r="I11" s="23">
        <f>(E11-F11)/D11</f>
        <v/>
      </c>
    </row>
    <row r="12"/>
    <row r="13" ht="15" customHeight="1" s="16">
      <c r="A13" s="18" t="inlineStr">
        <is>
          <t>Negative "From physics" = adding the physics loss made MAE worse.</t>
        </is>
      </c>
    </row>
    <row r="14" ht="15" customHeight="1" s="16">
      <c r="A14" s="18" t="inlineStr">
        <is>
          <t>Our Quantile is one seed (6% above the paper at 15 min), which inflates the GPDE share; GPDE+Quantile and GPDE+Quantile+Phy are 3-seed means.</t>
        </is>
      </c>
    </row>
    <row r="15" ht="15" customHeight="1" s="16">
      <c r="A15" s="18" t="inlineStr">
        <is>
          <t>Source: notebook 2, table C; paper: Table 1, PEMSD8.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5" min="1" max="1"/>
    <col width="20" customWidth="1" style="15" min="2" max="2"/>
    <col width="7" customWidth="1" style="15" min="3" max="3"/>
    <col width="14" customWidth="1" style="15" min="4" max="4"/>
    <col width="10" customWidth="1" style="15" min="5" max="5"/>
    <col width="9" customWidth="1" style="15" min="6" max="6"/>
    <col width="14" customWidth="1" style="15" min="7" max="7"/>
    <col width="18" customWidth="1" style="15" min="8" max="8"/>
  </cols>
  <sheetData>
    <row r="1" ht="16.15" customHeight="1" s="16">
      <c r="A1" s="17" t="inlineStr">
        <is>
          <t>PEMSD8 training runs</t>
        </is>
      </c>
    </row>
    <row r="2" ht="15" customHeight="1" s="16">
      <c r="A2" s="18" t="inlineStr">
        <is>
          <t>50 epochs each, batch 128, Colab T4. Best epoch = lowest validation MAE (the last checkpoint saved).</t>
        </is>
      </c>
    </row>
    <row r="3"/>
    <row r="4" ht="31.5" customHeight="1" s="16">
      <c r="A4" s="19" t="inlineStr">
        <is>
          <t>Run label</t>
        </is>
      </c>
      <c r="B4" s="19" t="inlineStr">
        <is>
          <t>Model</t>
        </is>
      </c>
      <c r="C4" s="19" t="inlineStr">
        <is>
          <t>Seed</t>
        </is>
      </c>
      <c r="D4" s="19" t="inlineStr">
        <is>
          <t>Trained on</t>
        </is>
      </c>
      <c r="E4" s="19" t="inlineStr">
        <is>
          <t>Best epoch</t>
        </is>
      </c>
      <c r="F4" s="19" t="inlineStr">
        <is>
          <t>Minutes</t>
        </is>
      </c>
      <c r="G4" s="19" t="inlineStr">
        <is>
          <t>Val MAE at best epoch</t>
        </is>
      </c>
      <c r="H4" s="19" t="inlineStr">
        <is>
          <t>Test MAE, all 12 horizons (authors-style)</t>
        </is>
      </c>
    </row>
    <row r="5" ht="15" customHeight="1" s="16">
      <c r="A5" s="20" t="inlineStr">
        <is>
          <t>pemsd8_quantile_seed0</t>
        </is>
      </c>
      <c r="B5" s="20" t="inlineStr">
        <is>
          <t>Quantile</t>
        </is>
      </c>
      <c r="C5" s="21" t="n">
        <v>0</v>
      </c>
      <c r="D5" s="20" t="inlineStr">
        <is>
          <t>account A</t>
        </is>
      </c>
      <c r="E5" s="29" t="n">
        <v>49</v>
      </c>
      <c r="F5" s="29" t="n">
        <v>48</v>
      </c>
      <c r="G5" s="30" t="n">
        <v>1.711</v>
      </c>
      <c r="H5" s="30" t="n">
        <v>1.7127</v>
      </c>
    </row>
    <row r="6" ht="15" customHeight="1" s="16">
      <c r="A6" s="20" t="inlineStr">
        <is>
          <t>pemsd8_gpde_quantile_seed0</t>
        </is>
      </c>
      <c r="B6" s="20" t="inlineStr">
        <is>
          <t>GPDE+Quantile</t>
        </is>
      </c>
      <c r="C6" s="21" t="n">
        <v>0</v>
      </c>
      <c r="D6" s="20" t="inlineStr">
        <is>
          <t>account A</t>
        </is>
      </c>
      <c r="E6" s="29" t="n">
        <v>43</v>
      </c>
      <c r="F6" s="29" t="n">
        <v>51</v>
      </c>
      <c r="G6" s="30" t="n">
        <v>1.5233</v>
      </c>
      <c r="H6" s="30" t="n">
        <v>1.5201</v>
      </c>
    </row>
    <row r="7" ht="15" customHeight="1" s="16">
      <c r="A7" s="20" t="inlineStr">
        <is>
          <t>pemsd8_gpde_quantile_seed1</t>
        </is>
      </c>
      <c r="B7" s="20" t="inlineStr">
        <is>
          <t>GPDE+Quantile</t>
        </is>
      </c>
      <c r="C7" s="21" t="n">
        <v>1</v>
      </c>
      <c r="D7" s="20" t="inlineStr">
        <is>
          <t>account B</t>
        </is>
      </c>
      <c r="E7" s="29" t="n">
        <v>35</v>
      </c>
      <c r="F7" s="29" t="n">
        <v>57</v>
      </c>
      <c r="G7" s="30" t="n">
        <v>1.5376</v>
      </c>
      <c r="H7" s="30" t="n">
        <v>1.5316</v>
      </c>
    </row>
    <row r="8" ht="15" customHeight="1" s="16">
      <c r="A8" s="20" t="inlineStr">
        <is>
          <t>pemsd8_gpde_quantile_seed2</t>
        </is>
      </c>
      <c r="B8" s="20" t="inlineStr">
        <is>
          <t>GPDE+Quantile</t>
        </is>
      </c>
      <c r="C8" s="21" t="n">
        <v>2</v>
      </c>
      <c r="D8" s="20" t="inlineStr">
        <is>
          <t>account B</t>
        </is>
      </c>
      <c r="E8" s="29" t="n">
        <v>44</v>
      </c>
      <c r="F8" s="29" t="n">
        <v>51</v>
      </c>
      <c r="G8" s="30" t="n">
        <v>1.5672</v>
      </c>
      <c r="H8" s="30" t="n">
        <v>1.5627</v>
      </c>
    </row>
    <row r="9" ht="15" customHeight="1" s="16">
      <c r="A9" s="20" t="inlineStr">
        <is>
          <t>pemsd8_underwood_ours</t>
        </is>
      </c>
      <c r="B9" s="20" t="inlineStr">
        <is>
          <t>GPDE+Quantile+Phy</t>
        </is>
      </c>
      <c r="C9" s="21" t="n">
        <v>0</v>
      </c>
      <c r="D9" s="20" t="inlineStr">
        <is>
          <t>implementation</t>
        </is>
      </c>
      <c r="E9" s="29" t="n">
        <v>30</v>
      </c>
      <c r="F9" s="29" t="n"/>
      <c r="G9" s="30" t="n">
        <v>1.538</v>
      </c>
      <c r="H9" s="30" t="n"/>
    </row>
    <row r="10" ht="15" customHeight="1" s="16">
      <c r="A10" s="20" t="inlineStr">
        <is>
          <t>pemsd8_underwood_ours_seed1</t>
        </is>
      </c>
      <c r="B10" s="20" t="inlineStr">
        <is>
          <t>GPDE+Quantile+Phy</t>
        </is>
      </c>
      <c r="C10" s="21" t="n">
        <v>1</v>
      </c>
      <c r="D10" s="20" t="inlineStr">
        <is>
          <t>implementation</t>
        </is>
      </c>
      <c r="E10" s="29" t="n">
        <v>48</v>
      </c>
      <c r="F10" s="29" t="n"/>
      <c r="G10" s="30" t="n">
        <v>1.5736</v>
      </c>
      <c r="H10" s="30" t="n"/>
    </row>
    <row r="11" ht="15" customHeight="1" s="16">
      <c r="A11" s="20" t="inlineStr">
        <is>
          <t>pemsd8_underwood_ours_seed2</t>
        </is>
      </c>
      <c r="B11" s="20" t="inlineStr">
        <is>
          <t>GPDE+Quantile+Phy</t>
        </is>
      </c>
      <c r="C11" s="21" t="n">
        <v>2</v>
      </c>
      <c r="D11" s="20" t="inlineStr">
        <is>
          <t>implementation</t>
        </is>
      </c>
      <c r="E11" s="29" t="n">
        <v>46</v>
      </c>
      <c r="F11" s="29" t="n"/>
      <c r="G11" s="30" t="n">
        <v>1.5455</v>
      </c>
      <c r="H11" s="30" t="n"/>
    </row>
    <row r="12"/>
    <row r="13" ht="15" customHeight="1" s="16">
      <c r="A13" s="18" t="inlineStr">
        <is>
          <t>Our runs: training logs from reproduction/logs/&lt;run&gt;/. Phy runs: implementation/logs/ and implementation/results/horizon_metrics.csv (lambda 0.002, our loss = authors' loss).</t>
        </is>
      </c>
    </row>
    <row r="14" ht="15" customHeight="1" s="16">
      <c r="A14" s="18" t="inlineStr">
        <is>
          <t>Test MAE here includes the authors' batch padding, so it is slightly below the unpadded numbers on the other sheets.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2026-10-25T13:16:49Z</dcterms:created>
  <dcterms:modified xmlns:dcterms="http://purl.org/dc/terms/" xmlns:xsi="http://www.w3.org/2001/XMLSchema-instance" xsi:type="dcterms:W3CDTF">2026-10-29T08:24:57Z</dcterms:modified>
  <cp:revision>0</cp:revision>
</cp:coreProperties>
</file>